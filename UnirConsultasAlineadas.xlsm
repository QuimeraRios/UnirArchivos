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utomatizacion\UnirArchivos\"/>
    </mc:Choice>
  </mc:AlternateContent>
  <xr:revisionPtr revIDLastSave="0" documentId="8_{5BF149E3-F029-4460-A89D-1FA72EA134F1}" xr6:coauthVersionLast="47" xr6:coauthVersionMax="47" xr10:uidLastSave="{00000000-0000-0000-0000-000000000000}"/>
  <bookViews>
    <workbookView xWindow="-110" yWindow="-110" windowWidth="19420" windowHeight="10300" activeTab="4" xr2:uid="{62C25F1B-7B3F-4677-9F8D-22FB56E9CF5D}"/>
  </bookViews>
  <sheets>
    <sheet name="Participaciones" sheetId="8" r:id="rId1"/>
    <sheet name="Seleccion" sheetId="1" r:id="rId2"/>
    <sheet name="ResumenPorCompañia" sheetId="9" r:id="rId3"/>
    <sheet name="RenombrarArchivos" sheetId="11" r:id="rId4"/>
    <sheet name="BorrarArchivos" sheetId="10" r:id="rId5"/>
  </sheets>
  <definedNames>
    <definedName name="_xlnm._FilterDatabase" localSheetId="0" hidden="1">Participaciones!$A$1:$R$329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B16" i="11" s="1"/>
  <c r="D17" i="1"/>
  <c r="D18" i="1"/>
  <c r="D19" i="1"/>
  <c r="D20" i="1"/>
  <c r="D3" i="1"/>
  <c r="C20" i="10"/>
  <c r="D20" i="10" s="1"/>
  <c r="C19" i="10"/>
  <c r="C18" i="10"/>
  <c r="C17" i="10"/>
  <c r="D17" i="10" s="1"/>
  <c r="C16" i="10"/>
  <c r="D16" i="10" s="1"/>
  <c r="C15" i="10"/>
  <c r="D15" i="10" s="1"/>
  <c r="C14" i="10"/>
  <c r="C13" i="10"/>
  <c r="D13" i="10" s="1"/>
  <c r="C12" i="10"/>
  <c r="D12" i="10" s="1"/>
  <c r="C11" i="10"/>
  <c r="C10" i="10"/>
  <c r="C9" i="10"/>
  <c r="D9" i="10" s="1"/>
  <c r="C8" i="10"/>
  <c r="D8" i="10" s="1"/>
  <c r="C7" i="10"/>
  <c r="D7" i="10" s="1"/>
  <c r="C6" i="10"/>
  <c r="C5" i="10"/>
  <c r="D5" i="10" s="1"/>
  <c r="C4" i="10"/>
  <c r="D4" i="10" s="1"/>
  <c r="C3" i="10"/>
  <c r="D3" i="10" s="1"/>
  <c r="A4" i="11"/>
  <c r="B4" i="11" s="1"/>
  <c r="A5" i="11"/>
  <c r="A6" i="11"/>
  <c r="A7" i="11"/>
  <c r="A8" i="11"/>
  <c r="A9" i="11"/>
  <c r="A10" i="11"/>
  <c r="A11" i="11"/>
  <c r="A12" i="11"/>
  <c r="B12" i="11" s="1"/>
  <c r="A13" i="11"/>
  <c r="B13" i="11" s="1"/>
  <c r="A14" i="11"/>
  <c r="B14" i="11" s="1"/>
  <c r="A15" i="11"/>
  <c r="B15" i="11" s="1"/>
  <c r="A16" i="11"/>
  <c r="A17" i="11"/>
  <c r="A18" i="11"/>
  <c r="A19" i="11"/>
  <c r="A20" i="11"/>
  <c r="B20" i="11" s="1"/>
  <c r="A3" i="11"/>
  <c r="B3" i="11" s="1"/>
  <c r="B5" i="11"/>
  <c r="B6" i="11"/>
  <c r="B7" i="11" l="1"/>
  <c r="D10" i="10"/>
  <c r="B19" i="11"/>
  <c r="D11" i="10"/>
  <c r="B10" i="11"/>
  <c r="B17" i="11"/>
  <c r="B9" i="11"/>
  <c r="D18" i="10"/>
  <c r="B11" i="11"/>
  <c r="D19" i="10"/>
  <c r="B18" i="11"/>
  <c r="B8" i="11"/>
  <c r="D6" i="10"/>
  <c r="D1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0AC709-3714-40E8-90A4-7723DBCAC2A5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2" xr16:uid="{A760DEBE-8F3E-47C8-A281-A5123F2BC99A}" keepAlive="1" name="Consulta - Archivo de ejemplo (2)" description="Conexión a la consulta 'Archivo de ejemplo (2)' en el libro." type="5" refreshedVersion="0" background="1">
    <dbPr connection="Provider=Microsoft.Mashup.OleDb.1;Data Source=$Workbook$;Location=&quot;Archivo de ejemplo (2)&quot;;Extended Properties=&quot;&quot;" command="SELECT * FROM [Archivo de ejemplo (2)]"/>
  </connection>
  <connection id="3" xr16:uid="{B35EE6F0-DD50-4764-B1AC-00B4ADD4FB4A}" keepAlive="1" name="Consulta - Archivo de ejemplo (3)" description="Conexión a la consulta 'Archivo de ejemplo (3)' en el libro." type="5" refreshedVersion="0" background="1">
    <dbPr connection="Provider=Microsoft.Mashup.OleDb.1;Data Source=$Workbook$;Location=&quot;Archivo de ejemplo (3)&quot;;Extended Properties=&quot;&quot;" command="SELECT * FROM [Archivo de ejemplo (3)]"/>
  </connection>
  <connection id="4" xr16:uid="{60C09634-C2CE-4FEB-979A-A589177EC2F4}" keepAlive="1" name="Consulta - ARL SURA" description="Conexión a la consulta 'ARL SURA' en el libro." type="5" refreshedVersion="8" background="1" saveData="1">
    <dbPr connection="Provider=Microsoft.Mashup.OleDb.1;Data Source=$Workbook$;Location=&quot;ARL SURA&quot;;Extended Properties=&quot;&quot;" command="SELECT * FROM [ARL SURA]"/>
  </connection>
  <connection id="5" xr16:uid="{17E54A0D-62B2-41F0-B533-3ACCD6D0F1E9}" keepAlive="1" name="Consulta - BBVA" description="Conexión a la consulta 'BBVA' en el libro." type="5" refreshedVersion="8" background="1" saveData="1">
    <dbPr connection="Provider=Microsoft.Mashup.OleDb.1;Data Source=$Workbook$;Location=BBVA;Extended Properties=&quot;&quot;" command="SELECT * FROM [BBVA]"/>
  </connection>
  <connection id="6" xr16:uid="{0A837E68-B5E2-44D8-A1C1-DCD194FAD22C}" keepAlive="1" name="Consulta - BOLIVAR" description="Conexión a la consulta 'BOLIVAR' en el libro." type="5" refreshedVersion="8" background="1" saveData="1">
    <dbPr connection="Provider=Microsoft.Mashup.OleDb.1;Data Source=$Workbook$;Location=BOLIVAR;Extended Properties=&quot;&quot;" command="SELECT * FROM [BOLIVAR]"/>
  </connection>
  <connection id="7" xr16:uid="{7804C227-EA8F-477C-A7FB-1A6298A0C7B8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8" xr16:uid="{437840EA-42A4-4139-9EF7-8F24B25AD529}" keepAlive="1" name="Consulta - Transformar archivo (2)" description="Conexión a la consulta 'Transformar archivo (2)' en el libro." type="5" refreshedVersion="0" background="1">
    <dbPr connection="Provider=Microsoft.Mashup.OleDb.1;Data Source=$Workbook$;Location=&quot;Transformar archivo (2)&quot;;Extended Properties=&quot;&quot;" command="SELECT * FROM [Transformar archivo (2)]"/>
  </connection>
  <connection id="9" xr16:uid="{4407BDB4-50D9-44FB-ABE8-9E359DB22FC9}" keepAlive="1" name="Consulta - Transformar archivo (3)" description="Conexión a la consulta 'Transformar archivo (3)' en el libro." type="5" refreshedVersion="0" background="1">
    <dbPr connection="Provider=Microsoft.Mashup.OleDb.1;Data Source=$Workbook$;Location=&quot;Transformar archivo (3)&quot;;Extended Properties=&quot;&quot;" command="SELECT * FROM [Transformar archivo (3)]"/>
  </connection>
</connections>
</file>

<file path=xl/sharedStrings.xml><?xml version="1.0" encoding="utf-8"?>
<sst xmlns="http://schemas.openxmlformats.org/spreadsheetml/2006/main" count="1041" uniqueCount="386">
  <si>
    <t>Empresa</t>
  </si>
  <si>
    <t>Anexar</t>
  </si>
  <si>
    <t>Si/No</t>
  </si>
  <si>
    <t>Ruta</t>
  </si>
  <si>
    <t>Fecha</t>
  </si>
  <si>
    <t>Compañía</t>
  </si>
  <si>
    <t>Ramo</t>
  </si>
  <si>
    <t>Tomador</t>
  </si>
  <si>
    <t>VlrPrima</t>
  </si>
  <si>
    <t>% Comisión Cia</t>
  </si>
  <si>
    <t>ComisiónCia</t>
  </si>
  <si>
    <t>ARL SURAMERICANA S.A</t>
  </si>
  <si>
    <t>ARL</t>
  </si>
  <si>
    <t>CARGA Y LOGISTICA DE COLOMBIA S.A.</t>
  </si>
  <si>
    <t>OFIGRAF IMPRESORES S.A.S.</t>
  </si>
  <si>
    <t>LUZ MARINA SOLORZANO DE BETANCUR</t>
  </si>
  <si>
    <t>Consecutivo</t>
  </si>
  <si>
    <t>Póliza</t>
  </si>
  <si>
    <t>DocumentoReferencia</t>
  </si>
  <si>
    <t>Sobre Comisión</t>
  </si>
  <si>
    <t>SEGUROS DEL ESTADO GENERALES</t>
  </si>
  <si>
    <t>AUTOMOVILES LIVIANOS INDIVIDUAL</t>
  </si>
  <si>
    <t>JOHANN MANUEL VALBUENA ALFONSO</t>
  </si>
  <si>
    <t>MARIA ISABEL GUTIERREZ GIL</t>
  </si>
  <si>
    <t>SANDRA MILENA VANEGAS CASTAÑEDA</t>
  </si>
  <si>
    <t>FRANCISCO MAURICIO ORTIZ PALACIO</t>
  </si>
  <si>
    <t>LILIANA VARGAS ESCOBAR</t>
  </si>
  <si>
    <t>PYME</t>
  </si>
  <si>
    <t xml:space="preserve"> TERAPIA RESPIRATORIA LAS VEGAS S.A.S. </t>
  </si>
  <si>
    <t>RESPONSABILIDAD CIVIL EXTRACONTRACTUAL</t>
  </si>
  <si>
    <t>SARA PEREZ TAMAYO</t>
  </si>
  <si>
    <t>ELSA JANNETH CESPEDES VILLALB A</t>
  </si>
  <si>
    <t>RESPONSABILIDAD CIVIL PROFESIONAL</t>
  </si>
  <si>
    <t>BIBIANA YANED GARCIA PEREANEZ</t>
  </si>
  <si>
    <t xml:space="preserve"> GRUPO ANTIOQUEÑO DE EDUCACION PARA EL EMPLEO GAEE S.A.S. </t>
  </si>
  <si>
    <t>AUTOMOVILES PESADOS INDIVIDUAL</t>
  </si>
  <si>
    <t>LAIONEL YESID MONTOYA MEJIA</t>
  </si>
  <si>
    <t>JORGE FABIAN CORREA PELAEZ</t>
  </si>
  <si>
    <t>JULIO CESAR FRANCO ROMERO</t>
  </si>
  <si>
    <t>MARIA CAMILA ACOSTA VILLAMIZAR</t>
  </si>
  <si>
    <t xml:space="preserve"> PICSO S.A.S. </t>
  </si>
  <si>
    <t>COPROPIEDADES</t>
  </si>
  <si>
    <t xml:space="preserve"> EDIFICIO LOS COLORADO </t>
  </si>
  <si>
    <t>SERGIO ALEJANDRO MARIN ARGAEZ</t>
  </si>
  <si>
    <t>GLOBAL SEGUROS S.A.</t>
  </si>
  <si>
    <t>VIDA INDIVIDUAL</t>
  </si>
  <si>
    <t>SERNA ORTIZ LORENA</t>
  </si>
  <si>
    <t>SEGURO EDUCATIVO</t>
  </si>
  <si>
    <t>ROJAS ARBOLEDA DANIEL</t>
  </si>
  <si>
    <t>PENSIONES VOLUNTARIA</t>
  </si>
  <si>
    <t>RANGEL ANGARITA HILDA LILIANA</t>
  </si>
  <si>
    <t>PAEZ RODRIGUEZ MARCELO IVAN</t>
  </si>
  <si>
    <t>CHUBB SEGUROS COLOMBIA S.A.</t>
  </si>
  <si>
    <t>DISTRIBUIDORA KIRAMAR S.A.S</t>
  </si>
  <si>
    <t>Nombre del Archivo</t>
  </si>
  <si>
    <t>Fecha de Actualización</t>
  </si>
  <si>
    <t>Total VlrPrima</t>
  </si>
  <si>
    <t>Total ComisiónCia</t>
  </si>
  <si>
    <t>29/4/2025 16:46:54</t>
  </si>
  <si>
    <t>29/4/2025 16:54:49</t>
  </si>
  <si>
    <t>Selección todos</t>
  </si>
  <si>
    <t>Rutas de Carpetas a borrar contenido</t>
  </si>
  <si>
    <t>Nombre Base para Archivos</t>
  </si>
  <si>
    <t>Ensayo</t>
  </si>
  <si>
    <t>Año</t>
  </si>
  <si>
    <t>Mesliquidación</t>
  </si>
  <si>
    <t>%Particip,Utilidades</t>
  </si>
  <si>
    <t>$Particip,Utilidades</t>
  </si>
  <si>
    <t>CentroCosto</t>
  </si>
  <si>
    <t>ALLIANZ SEGUROS S.A.</t>
  </si>
  <si>
    <t>Auto Ind</t>
  </si>
  <si>
    <t xml:space="preserve">
BOTERO BOTERO,IVAN</t>
  </si>
  <si>
    <t>GONZALEZ PEREZ, MARCO ALE</t>
  </si>
  <si>
    <t>Auto Pesado</t>
  </si>
  <si>
    <t>MARTINEZ OROZCO,OBERDAN D</t>
  </si>
  <si>
    <t>HERNANDEZ OSORIO,MARCELA</t>
  </si>
  <si>
    <t>ALVAREZ RIVERA,JOSE IGNAC</t>
  </si>
  <si>
    <t>ARAQUE ANGEL,RICARDO ANDR</t>
  </si>
  <si>
    <t>MORRIS VELASQUEZ,LILLYANA</t>
  </si>
  <si>
    <t>GAUDENZI ARBELAEZ, GIANLU</t>
  </si>
  <si>
    <t>RUEDA , SANDRA JANNETH</t>
  </si>
  <si>
    <t>CASTAÑEDA YEPES, JUAN DAV</t>
  </si>
  <si>
    <t>GIRALDO VALLEJO,SANTIAGO</t>
  </si>
  <si>
    <t>PALACIO VELASQUEZ, JAIME</t>
  </si>
  <si>
    <t>DIAZ PARRA,ESPERANZA</t>
  </si>
  <si>
    <t>Auto Liviano</t>
  </si>
  <si>
    <t xml:space="preserve">
ALVAREZ TABORDA,RAFAEL AN</t>
  </si>
  <si>
    <t>NaN</t>
  </si>
  <si>
    <t>Allianz Care</t>
  </si>
  <si>
    <t>MESA ALVAREZ, VICTORIA MA</t>
  </si>
  <si>
    <t>MOLINA MARIN,NAZARETH DE</t>
  </si>
  <si>
    <t>GALVIS MEJIA,ELSY DEL SOC</t>
  </si>
  <si>
    <t>VIDA COLECTIVO</t>
  </si>
  <si>
    <t>EMPRESA INTERNACIONAL DE</t>
  </si>
  <si>
    <t>ECHAVARRIA , NEVARDO DE J</t>
  </si>
  <si>
    <t>ESCOBAR OROZCO, GUSTAVO A</t>
  </si>
  <si>
    <t>PINEDA ZULUAGA,DORA HELEN</t>
  </si>
  <si>
    <t>BERNAL PATIÑO, GERSON VA</t>
  </si>
  <si>
    <t>ESCOBAR MARULANDA,ADRIANA</t>
  </si>
  <si>
    <t>PEREZ CANO, LAURA</t>
  </si>
  <si>
    <t>DE LEON CIFUENTES,JORGE A</t>
  </si>
  <si>
    <t>RODRIGUEZ ARDILA,JAZMIN</t>
  </si>
  <si>
    <t>MARTINEZ GONZALEZ, VERONI</t>
  </si>
  <si>
    <t>CARDONA MONSALVE,MIGUEL A</t>
  </si>
  <si>
    <t>ARAPE RON, ANDRES ELOY</t>
  </si>
  <si>
    <t>Allianz Hogar</t>
  </si>
  <si>
    <t>ARANGO GALLEGO,ADRIANA MA</t>
  </si>
  <si>
    <t>POSADA ESCOBAR,BERTA LUZ</t>
  </si>
  <si>
    <t>TEJADA RESTREPO,MARIO OSW</t>
  </si>
  <si>
    <t>ROCHA DE SOUZA,ROBERTA CR</t>
  </si>
  <si>
    <t>BURITICA YEPES,ADRIANA PA</t>
  </si>
  <si>
    <t>VELEZ TORO,ELIZABETH</t>
  </si>
  <si>
    <t>HAMID ASUAD,GLORIA LUZ</t>
  </si>
  <si>
    <t>PALOMARES CORREA,MARIA CR</t>
  </si>
  <si>
    <t>GIL BETANCUR,YHONY ALEJAN</t>
  </si>
  <si>
    <t>VARGAS RAMIREZ,JOAQUIN DA</t>
  </si>
  <si>
    <t>RESTREPO MURIEL, DORIELA</t>
  </si>
  <si>
    <t>CALAD ALVAREZ,ALEJANDRO</t>
  </si>
  <si>
    <t>ARANGO CADAVID,CARLOS ALB</t>
  </si>
  <si>
    <t>SALAZAR SALDARRIAGA,ALEJA</t>
  </si>
  <si>
    <t>HERRERA FLOREZ, MARIA VIC</t>
  </si>
  <si>
    <t>PATERNINA OLIVERO,JUAN CA</t>
  </si>
  <si>
    <t>ECHEVERRI MEJIA, PAULINA</t>
  </si>
  <si>
    <t>QUINTERO FRANCO, CLAUDIA</t>
  </si>
  <si>
    <t>VELEZ CALLE,MARIA EUGENIA</t>
  </si>
  <si>
    <t>GONZALEZ PAREDES,MARIA CR</t>
  </si>
  <si>
    <t>ECHAVARRIA ARISTIZABAL,OS</t>
  </si>
  <si>
    <t>Allianz Gold</t>
  </si>
  <si>
    <t>CASTAÑEDA CEBALLOS, LUIS</t>
  </si>
  <si>
    <t>PINEDA ESTRADA,MONICA CEC</t>
  </si>
  <si>
    <t>AVENDAÑO ALVAREZ,WILSON A</t>
  </si>
  <si>
    <t>CUARTAS BUSTAMANTE,JHONAT</t>
  </si>
  <si>
    <t>VELASQUEZ GOMEZ,JUAN MIGU</t>
  </si>
  <si>
    <t>VIEIRA VIRGUEZ,MARTIN FED</t>
  </si>
  <si>
    <t>SALCEDO GIL,KEVIN ANDRES</t>
  </si>
  <si>
    <t>LONDOÑO OSORIO,RUBIELA</t>
  </si>
  <si>
    <t>ESPINAL RAIGOZA, HISMILDA</t>
  </si>
  <si>
    <t>BOTERO ECHEVERRI,JOSE BER</t>
  </si>
  <si>
    <t>PIEDRAHITA DAVID,JULIETH</t>
  </si>
  <si>
    <t>TORO GUTIERREZ, PABLO</t>
  </si>
  <si>
    <t>LOAIZA GUTIERREZ,SANDRA V</t>
  </si>
  <si>
    <t>SOCIEDAD DISTRIBUIDORA CO</t>
  </si>
  <si>
    <t>MESA OCAMPO,ROBINSON</t>
  </si>
  <si>
    <t>URIBE ALVAREZ, EMILCE DEL</t>
  </si>
  <si>
    <t>PEREZ BASMAGI,ERNESTO LUI</t>
  </si>
  <si>
    <t>LOPEZ ALCANTARA SANTAMARI</t>
  </si>
  <si>
    <t>FERGUSSON VASQUEZ,MARGARI</t>
  </si>
  <si>
    <t>PALACIO OLAYO, JULIAN AND</t>
  </si>
  <si>
    <t>BALVIN CESPEDES,DORYS AMP</t>
  </si>
  <si>
    <t>CUAN GNECCO,RICARDO JOSE</t>
  </si>
  <si>
    <t>LOGISTICA AMBIENTAL OP SA</t>
  </si>
  <si>
    <t>OTERO DE LA OSSA, INES IR</t>
  </si>
  <si>
    <t>HINCAPIE SALAZAR, LILIANA</t>
  </si>
  <si>
    <t>VELASQUEZ CARDENAS,ALBERT</t>
  </si>
  <si>
    <t>MARTINEZ HERNANDEZ,WILFER</t>
  </si>
  <si>
    <t>GOEZ LUNA,YOMAN</t>
  </si>
  <si>
    <t>SOLORZANO PATIÑO,ADRIANA</t>
  </si>
  <si>
    <t>CARDEÑO ALARCON,LUISA FER</t>
  </si>
  <si>
    <t>HERNANDEZ BONETH,HERNANDE</t>
  </si>
  <si>
    <t>RINCON OROZCO,DIANA MARCE</t>
  </si>
  <si>
    <t>ARIZA MOSQUERA,DIANA ALEX</t>
  </si>
  <si>
    <t>ARBELAEZ GALLO,OLGA DEL S</t>
  </si>
  <si>
    <t>PALACIO CARDONA,LUCIA DEL</t>
  </si>
  <si>
    <t>BETANCOURT URREA,GUSTAVO</t>
  </si>
  <si>
    <t>MUNERA RAMIREZ,AGUSTIN DE</t>
  </si>
  <si>
    <t>GARCIA MEJIA,MANUELA</t>
  </si>
  <si>
    <t>MUNDO FORESTAL S.A.S.</t>
  </si>
  <si>
    <t>CORREA RESTREPO,MARIA DEL</t>
  </si>
  <si>
    <t>GAVIRIA ACEVEDO,NATALIA</t>
  </si>
  <si>
    <t>ARISTIZABAL LONDOÑO, GONZ</t>
  </si>
  <si>
    <t>PARDO TORO,ANA PATRICIA</t>
  </si>
  <si>
    <t>OCHOA ZULUAGA, LUCAS</t>
  </si>
  <si>
    <t>HURTADO LOPEZ,JUAN CARLOS</t>
  </si>
  <si>
    <t>GAVIRIA VERA,JOSE MIGUEL</t>
  </si>
  <si>
    <t>VILLARREAL MATOS,EMMA MAR</t>
  </si>
  <si>
    <t>SEVILLANO HERNANDEZ, LIGI</t>
  </si>
  <si>
    <t>GARCIA PEREZ,MARIANA</t>
  </si>
  <si>
    <t>URIBE GARCIA,CARLOS MARIO</t>
  </si>
  <si>
    <t>MENDOZA TIBABISCO,NATALIA</t>
  </si>
  <si>
    <t>SALDARRIAGA RAMIREZ,TOMAS</t>
  </si>
  <si>
    <t>RESTREPO VELEZ,JORGE ALBE</t>
  </si>
  <si>
    <t>TRUJILLO OCHOA,GABRIEL JA</t>
  </si>
  <si>
    <t>MONTOYA ROJAS, CLAUDIA LU</t>
  </si>
  <si>
    <t>REINA NARANJO,MARIA EUGEN</t>
  </si>
  <si>
    <t>LOPEZ MALLUNGO, CARLOS AN</t>
  </si>
  <si>
    <t>RESTREPO RAMIREZ,LUIS ALB</t>
  </si>
  <si>
    <t>PEREZ ARISTIZABAL,ANA MIL</t>
  </si>
  <si>
    <t>BUITRAGO LOPEZ,OLGA STELL</t>
  </si>
  <si>
    <t>MEZA RODRIGUEZ,JAIRO ALBE</t>
  </si>
  <si>
    <t>BEDOYA VASQUEZ, SILVIA LI</t>
  </si>
  <si>
    <t>MONTOYA CARDONA,CARLOS MA</t>
  </si>
  <si>
    <t>URIBE ARANGO,OSCAR IVAN</t>
  </si>
  <si>
    <t>SALAZAR ALZATE, JORGE IVA</t>
  </si>
  <si>
    <t>HOYOS GUTIERREZ,CELIA ROS</t>
  </si>
  <si>
    <t>ESCOBAR VALENCIA,MARIA JU</t>
  </si>
  <si>
    <t>PEREZ PEREZ, MONICA DEL P</t>
  </si>
  <si>
    <t>SOTO CORREA,ANDRES</t>
  </si>
  <si>
    <t>RIVAS BARRERA, LUZ ADRIAN</t>
  </si>
  <si>
    <t>MAYA LONDOÑO,YULY ANDREA</t>
  </si>
  <si>
    <t>VELEZ SIERRA, MARCO ANTON</t>
  </si>
  <si>
    <t>PELAEZ MORENO, MONICA</t>
  </si>
  <si>
    <t>MEJIA HINCAPIE,KATHERINE</t>
  </si>
  <si>
    <t>SARRAZOLA MONCADA, TOMAS</t>
  </si>
  <si>
    <t>RESTREPO GIRALDO,CATALINA</t>
  </si>
  <si>
    <t>SERNA MENDOZA,AIDA LUZ</t>
  </si>
  <si>
    <t>MORA MAYA,CARLOS ANDRES</t>
  </si>
  <si>
    <t>LOPEZ GOMEZ, DAVID</t>
  </si>
  <si>
    <t>GRISALES VALLEJO, DORA MA</t>
  </si>
  <si>
    <t>CALLEJAS OCHOA,LUISA FERN</t>
  </si>
  <si>
    <t>ECHEVERRY GONZALEZ, BEATR</t>
  </si>
  <si>
    <t>PLANEACION TRIBUTARIA Y F</t>
  </si>
  <si>
    <t>MATEUS OSORNO, MAURICIO O</t>
  </si>
  <si>
    <t>TORO ARANGO, JOSE ANDRES</t>
  </si>
  <si>
    <t>LONDOÑO MUÑOZ,BEATRIZ ELE</t>
  </si>
  <si>
    <t>ESCOBAR GONZALEZ,CAROLINA</t>
  </si>
  <si>
    <t>ACEVEDO CORREA,LUIS FELIP</t>
  </si>
  <si>
    <t>VELASQUEZ TABORDA,CAMILO</t>
  </si>
  <si>
    <t>GIRALDO GALEANO, CARLOS E</t>
  </si>
  <si>
    <t>CUERVO MARIN,BIBIANA</t>
  </si>
  <si>
    <t>HOYOS CHICA,DIANA MARIA</t>
  </si>
  <si>
    <t>FONTANILLA MORA,WALTER JU</t>
  </si>
  <si>
    <t>MUNERA URIBE,MARIA JESUS</t>
  </si>
  <si>
    <t>ZAPATA VASQUEZ, JOHAN</t>
  </si>
  <si>
    <t>ZABALA OQUENDO,CARLOS MAR</t>
  </si>
  <si>
    <t>GARCIA MAYO,LUZ MERY</t>
  </si>
  <si>
    <t>PEREZ BATERO, CARLOS ANDR</t>
  </si>
  <si>
    <t>PUERTAS CAMARGO,RAFAEL ED</t>
  </si>
  <si>
    <t>SANCHEZ RAMIREZ,JOSE MAUR</t>
  </si>
  <si>
    <t>RODRIGUEZ GOMEZ,MIGUEL HU</t>
  </si>
  <si>
    <t>OBANDO GARCIA,JULIAN</t>
  </si>
  <si>
    <t>ESCOBAR ECHEVERRY, LUIS F</t>
  </si>
  <si>
    <t>ACEVEDO MUÑOZ,DUBERLEY DE</t>
  </si>
  <si>
    <t>PUYO Y POSADA SAS</t>
  </si>
  <si>
    <t>CORREA VELEZ, LUIS DAVID</t>
  </si>
  <si>
    <t>VELEZ ,WILTON ANDERSON</t>
  </si>
  <si>
    <t>Vida ActuAll Digital</t>
  </si>
  <si>
    <t>ARISTIZABAL RESTREPO, AND</t>
  </si>
  <si>
    <t>JESSICA ANDREA, AGUIRRE F</t>
  </si>
  <si>
    <t>PLASTIC WORKS EMS S.A.S.</t>
  </si>
  <si>
    <t>PELAEZ MORENO,DANIEL FELI</t>
  </si>
  <si>
    <t>BARRIENTOS SEGURA,LUZ AND</t>
  </si>
  <si>
    <t>GINA MAYULI, SUAREZ NARAN</t>
  </si>
  <si>
    <t>PETROVA VON LUCKIE,ANIKA</t>
  </si>
  <si>
    <t>MARRUGO CASTILLA,LAURA PA</t>
  </si>
  <si>
    <t>ZAPATA RUA, LAURA JULIANA</t>
  </si>
  <si>
    <t>RESTREPO ALVAREZ,CARLOS A</t>
  </si>
  <si>
    <t>OCAMPO PATIÑO, ANDRES</t>
  </si>
  <si>
    <t>PINELI LTDA</t>
  </si>
  <si>
    <t>LOZANO OLAYA,FRANCISCO JA</t>
  </si>
  <si>
    <t>OSORIO CANO,JULIAN ERNEST</t>
  </si>
  <si>
    <t>RAMIREZ MONSALVE,EMMA ALE</t>
  </si>
  <si>
    <t>SIERRA MONTOYA,TOMAS</t>
  </si>
  <si>
    <t>VASQUEZ ZAPATA,NANCY CATA</t>
  </si>
  <si>
    <t>RESTREPO RESTREPO,JUAN ES</t>
  </si>
  <si>
    <t>JIMENEZ MARTINEZ, LUZ HEL</t>
  </si>
  <si>
    <t>SALAZAR ALVAREZ, ELIANA</t>
  </si>
  <si>
    <t>HERNANDEZ GARCES, ADRIANA</t>
  </si>
  <si>
    <t>RAMIREZ OSPINA, ELKIN DAR</t>
  </si>
  <si>
    <t>TABORDA ORTIZ, DIANA YULE</t>
  </si>
  <si>
    <t>SALDARRIAGA SIERRA, ALINA</t>
  </si>
  <si>
    <t>HERNANDEZ RAMIREZ, FERLEY</t>
  </si>
  <si>
    <t>VAN NORMAN, PETER JEFFRY</t>
  </si>
  <si>
    <t>GOEZ GOMEZ, LILIANA PATRI</t>
  </si>
  <si>
    <t>SALDARRIAGA OSSA, MARIA J</t>
  </si>
  <si>
    <t>OCHOA RAMIREZ, ALBA DORIS</t>
  </si>
  <si>
    <t>MUÑOZ SUAREZ, LUIS GUILLE</t>
  </si>
  <si>
    <t>GAVIRIA HOLGUIN, OSCAR AN</t>
  </si>
  <si>
    <t>MEJIA SALDARRIAGA, OSCAR</t>
  </si>
  <si>
    <t>ROJAS SERNA, DIANA CAROLI</t>
  </si>
  <si>
    <t>BARRIENTOS RESTREPO, SANT</t>
  </si>
  <si>
    <t>RESTREPO LAVERDE, JAIME A</t>
  </si>
  <si>
    <t>GOMEZ GALVACHE, FELIPE</t>
  </si>
  <si>
    <t>BAENA GARCIA, ANDRES</t>
  </si>
  <si>
    <t>MOLINA MONTOYA, JUANA VAL</t>
  </si>
  <si>
    <t>ARANGO ACEVEDO,LILIANA MA</t>
  </si>
  <si>
    <t>BEDOYA NARANJO,MATEO</t>
  </si>
  <si>
    <t>AGENCIA DE SEGUROS VALENC</t>
  </si>
  <si>
    <t>TABARES VALENCIA,ADRIANA</t>
  </si>
  <si>
    <t>MONTOYA ARANGO, DANIELA</t>
  </si>
  <si>
    <t>ARANGO MONTOYA,MANUEL ANT</t>
  </si>
  <si>
    <t>CANO PULGARIN,STIVEN ALEX</t>
  </si>
  <si>
    <t>POSADA GONZALEZ,SANDRA MA</t>
  </si>
  <si>
    <t>PEREZ MAYOR,JUAN JOSE</t>
  </si>
  <si>
    <t>GIRALDO ECHAVARRIA,JOHNY</t>
  </si>
  <si>
    <t>DIAZ PLAZA, DUMAR ALONSO</t>
  </si>
  <si>
    <t>GONZALEZ ECHEVERRI, SANDR</t>
  </si>
  <si>
    <t>VALENCIA MORALES,ANA JUDI</t>
  </si>
  <si>
    <t>ESCOBAR AMARILES, SANDRA</t>
  </si>
  <si>
    <t>ZAPATA PARRA,JUAN CARLOS</t>
  </si>
  <si>
    <t>GOMEZ GILCHRIST,MATIAS</t>
  </si>
  <si>
    <t>CORDOBA ARISMENDI,MARIA P</t>
  </si>
  <si>
    <t>MESA PIEDRAHITA, JUAN DAV</t>
  </si>
  <si>
    <t>CASTAÑO TORO,SERGIO ENRIQ</t>
  </si>
  <si>
    <t>MARLENY ROSA, DIAZ LOPEZ</t>
  </si>
  <si>
    <t>RUIZ MURILLO,TATIANA MARI</t>
  </si>
  <si>
    <t>RENDON NOREÑA,NATALI</t>
  </si>
  <si>
    <t>CANO PEREZ, ALEJANDRO</t>
  </si>
  <si>
    <t>BOTERO ARANGO, LUIS JAVIE</t>
  </si>
  <si>
    <t>MARIN HERRERA, ANDERSON</t>
  </si>
  <si>
    <t>MENDOZA TABARES, DIANA SH</t>
  </si>
  <si>
    <t>GIRALDO VELASQUEZ, DIANA</t>
  </si>
  <si>
    <t>HERNANDEZ OSPINA, DANIELA</t>
  </si>
  <si>
    <t>MEJIA TORRES, LUCELLY</t>
  </si>
  <si>
    <t>VELEZ RUEDA, LUIS FELIPE</t>
  </si>
  <si>
    <t>VELEZ POSADA, GERMAN</t>
  </si>
  <si>
    <t>HERNANDEZ MEJIA, SANTIAGO</t>
  </si>
  <si>
    <t>SANCHEZ CASTRILLON, LIBAR</t>
  </si>
  <si>
    <t>HERRERA JARAMILLO, DIEGO</t>
  </si>
  <si>
    <t>LOPERA PATIÑO, DIANY PATR</t>
  </si>
  <si>
    <t>TORRES CANO, ANA MARIA</t>
  </si>
  <si>
    <t>GIRALDO CARVAJAL, ROMAN A</t>
  </si>
  <si>
    <t>SALAZAR POSADA, LAURA CEC</t>
  </si>
  <si>
    <t>SALAZAR POSADA,LAURA CECI</t>
  </si>
  <si>
    <t>LOPEZ NARANJO, ALEJANDRO</t>
  </si>
  <si>
    <t>GIRALDO SOTO, CRISTIAN</t>
  </si>
  <si>
    <t>GIL JIMENEZ, OSCAR</t>
  </si>
  <si>
    <t>PUBLICIDAD AREA 51 S.A.S</t>
  </si>
  <si>
    <t>GALLEGO SIERRA, DIONY AND</t>
  </si>
  <si>
    <t>CALLE GARCES, CALLE GARCE</t>
  </si>
  <si>
    <t>NARANJO PINEDA, LUZ ELENA</t>
  </si>
  <si>
    <t>FLOREZ RODRIGUEZ, VALERIA</t>
  </si>
  <si>
    <t>SARMIENTO RIVERA, ISABEL</t>
  </si>
  <si>
    <t>GIRALDO MONTOYA, JUAN FEL</t>
  </si>
  <si>
    <t>GALLEGO ARENAS, LUIS AUGU</t>
  </si>
  <si>
    <t>RUIZ BUITRAGO,LUISA FERNA</t>
  </si>
  <si>
    <t>PAREJA ARBELAEZ, DANIELA</t>
  </si>
  <si>
    <t>ESCOBAR MORA, LUZ ADRIANA</t>
  </si>
  <si>
    <t>RESTREPO CASTAÑO, TATIANA</t>
  </si>
  <si>
    <t>ARISTIZABAL GONZALEZ, JAI</t>
  </si>
  <si>
    <t>GARRO CASTAÑO, JULIANA</t>
  </si>
  <si>
    <t>LOPEZ GUTIERREZ, FREDY UB</t>
  </si>
  <si>
    <t>CADAVID VASQUEZ, LILIANA</t>
  </si>
  <si>
    <t>GONZALEZ HENAO, CHRISTIAN</t>
  </si>
  <si>
    <t>VILLA MONTOYA, HERNAN DAR</t>
  </si>
  <si>
    <t>ARANGO FONNEGRA, ANA BEAT</t>
  </si>
  <si>
    <t>ESPINAL BOTERO, DAVID AND</t>
  </si>
  <si>
    <t>VASQUEZ LEMA, JOHN FAVER</t>
  </si>
  <si>
    <t>JARAMILLO MENDOZA, LUISA</t>
  </si>
  <si>
    <t>PALACIO VALENCIA,JORGE HE</t>
  </si>
  <si>
    <t>BETANCUR ALZATE,YESICA</t>
  </si>
  <si>
    <t>FLOREZ GALLEGO, ADRIANA M</t>
  </si>
  <si>
    <t>FLOREZ CARDONA,JANETH CRI</t>
  </si>
  <si>
    <t>RIVERA MARTINEZ,CRUZ ALVA</t>
  </si>
  <si>
    <t>RESTREPO ZAPATA,PAOLA</t>
  </si>
  <si>
    <t>BETANCUR QUIROZ,LEON JAIR</t>
  </si>
  <si>
    <t>HERRERA CARVAJAL,ANDRES F</t>
  </si>
  <si>
    <t>RENDON CUARTAS,ANDREA</t>
  </si>
  <si>
    <t>RESTREPO VELASQUEZ,DIANA</t>
  </si>
  <si>
    <t>ROLDAN GALEANO,GUILLERMO</t>
  </si>
  <si>
    <t>MIPYME</t>
  </si>
  <si>
    <t>JURADO DE VALENCIA, LUZ E</t>
  </si>
  <si>
    <t>VALENCIA JURADO,ANDRES</t>
  </si>
  <si>
    <t>TABORDA CASTAÑO,JONATHAN</t>
  </si>
  <si>
    <t>GARCIA OTALVARO, ZULMA YA</t>
  </si>
  <si>
    <t>CASAS ,MARIA INES</t>
  </si>
  <si>
    <t>RAMIREZ RAMIREZ,JUAN GILB</t>
  </si>
  <si>
    <t>FLOREZ OSORIO,ELIZABETH C</t>
  </si>
  <si>
    <t>MARTINEZ BLANDON,MARIA CL</t>
  </si>
  <si>
    <t>PEREZ ESPARZA,GUSTAVO AND</t>
  </si>
  <si>
    <t>MICOLTA MONROY,ALVARO</t>
  </si>
  <si>
    <t>Asesor</t>
  </si>
  <si>
    <t>Archivo1</t>
  </si>
  <si>
    <t>C:\Usuario\Archivo1.xlsx</t>
  </si>
  <si>
    <t>C:\Usuario\Archivo3.xlsx</t>
  </si>
  <si>
    <t>C:\Usuario\Archivo5.xlsx</t>
  </si>
  <si>
    <t>C:\Usuario\Archivo6.xlsx</t>
  </si>
  <si>
    <t>C:\Usuario\Archivo9.xlsx</t>
  </si>
  <si>
    <t>C:\Usuario\Archivo10.xlsx</t>
  </si>
  <si>
    <t>Carpeta\Archivo1</t>
  </si>
  <si>
    <t>Carpeta\Archivo2</t>
  </si>
  <si>
    <t>Carpeta\Archivo3</t>
  </si>
  <si>
    <t>Carpeta\Archivo4</t>
  </si>
  <si>
    <t>Carpeta\Archivo5</t>
  </si>
  <si>
    <t>Carpeta\Archivo6</t>
  </si>
  <si>
    <t>Carpeta\Archivo7</t>
  </si>
  <si>
    <t>Carpeta\Archivo8</t>
  </si>
  <si>
    <t>Carpeta\Archivo9</t>
  </si>
  <si>
    <t>Carpeta\Archivo10</t>
  </si>
  <si>
    <t>Carpeta\Archivo11</t>
  </si>
  <si>
    <t>Carpeta\Archivo12</t>
  </si>
  <si>
    <t>Carpeta\Archivo13</t>
  </si>
  <si>
    <t>Carpeta\Archivo14</t>
  </si>
  <si>
    <t>Carpeta\Archivo15</t>
  </si>
  <si>
    <t>Carpeta\Archivo16</t>
  </si>
  <si>
    <t>Carpeta\Archivo17</t>
  </si>
  <si>
    <t>Carpeta\Archivo18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</si>
</sst>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7" formatCode="&quot;$&quot;#,##0.00;\-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7" fontId="0" fillId="0" borderId="0" xfId="0" applyNumberFormat="1"/>
    <xf numFmtId="14" fontId="0" fillId="0" borderId="0" xfId="0" applyNumberFormat="1"/>
    <xf numFmtId="22" fontId="0" fillId="0" borderId="0" xfId="0" applyNumberFormat="1"/>
    <xf numFmtId="3" fontId="0" fillId="0" borderId="0" xfId="0" applyNumberFormat="1"/>
    <xf numFmtId="0" fontId="1" fillId="2" borderId="1" xfId="0" applyFont="1" applyFill="1" applyBorder="1"/>
    <xf numFmtId="0" fontId="2" fillId="0" borderId="0" xfId="0" applyFont="1"/>
    <xf numFmtId="0" fontId="2" fillId="3" borderId="0" xfId="0" applyFont="1" applyFill="1"/>
    <xf numFmtId="0" fontId="0" fillId="3" borderId="0" xfId="0" applyFill="1"/>
    <xf numFmtId="17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18B479F-F85B-4098-B8AF-7DC41CC69B6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C3" lockText="1" noThreeD="1"/>
</file>

<file path=xl/ctrlProps/ctrlProp2.xml><?xml version="1.0" encoding="utf-8"?>
<formControlPr xmlns="http://schemas.microsoft.com/office/spreadsheetml/2009/9/main" objectType="CheckBox" fmlaLink="C4" lockText="1" noThreeD="1"/>
</file>

<file path=xl/ctrlProps/ctrlProp3.xml><?xml version="1.0" encoding="utf-8"?>
<formControlPr xmlns="http://schemas.microsoft.com/office/spreadsheetml/2009/9/main" objectType="CheckBox" checked="Checked" fmlaLink="C5" lockText="1" noThreeD="1"/>
</file>

<file path=xl/ctrlProps/ctrlProp4.xml><?xml version="1.0" encoding="utf-8"?>
<formControlPr xmlns="http://schemas.microsoft.com/office/spreadsheetml/2009/9/main" objectType="CheckBox" fmlaLink="C6" lockText="1" noThreeD="1"/>
</file>

<file path=xl/ctrlProps/ctrlProp5.xml><?xml version="1.0" encoding="utf-8"?>
<formControlPr xmlns="http://schemas.microsoft.com/office/spreadsheetml/2009/9/main" objectType="CheckBox" checked="Checked" fmlaLink="C7" lockText="1" noThreeD="1"/>
</file>

<file path=xl/ctrlProps/ctrlProp6.xml><?xml version="1.0" encoding="utf-8"?>
<formControlPr xmlns="http://schemas.microsoft.com/office/spreadsheetml/2009/9/main" objectType="CheckBox" checked="Checked" fmlaLink="C8" lockText="1" noThreeD="1"/>
</file>

<file path=xl/ctrlProps/ctrlProp7.xml><?xml version="1.0" encoding="utf-8"?>
<formControlPr xmlns="http://schemas.microsoft.com/office/spreadsheetml/2009/9/main" objectType="CheckBox" fmlaLink="C9" lockText="1" noThreeD="1"/>
</file>

<file path=xl/ctrlProps/ctrlProp8.xml><?xml version="1.0" encoding="utf-8"?>
<formControlPr xmlns="http://schemas.microsoft.com/office/spreadsheetml/2009/9/main" objectType="CheckBox" fmlaLink="C10" lockText="1" noThreeD="1"/>
</file>

<file path=xl/ctrlProps/ctrlProp9.xml><?xml version="1.0" encoding="utf-8"?>
<formControlPr xmlns="http://schemas.microsoft.com/office/spreadsheetml/2009/9/main" objectType="CheckBox" checked="Checked" fmlaLink="C11" lockText="1" noThreeD="1"/>
</file>

<file path=xl/ctrlProps/ctrlProp10.xml><?xml version="1.0" encoding="utf-8"?>
<formControlPr xmlns="http://schemas.microsoft.com/office/spreadsheetml/2009/9/main" objectType="CheckBox" checked="Checked" fmlaLink="C12" lockText="1" noThreeD="1"/>
</file>

<file path=xl/ctrlProps/ctrlProp11.xml><?xml version="1.0" encoding="utf-8"?>
<formControlPr xmlns="http://schemas.microsoft.com/office/spreadsheetml/2009/9/main" objectType="CheckBox" fmlaLink="C13" lockText="1" noThreeD="1"/>
</file>

<file path=xl/ctrlProps/ctrlProp12.xml><?xml version="1.0" encoding="utf-8"?>
<formControlPr xmlns="http://schemas.microsoft.com/office/spreadsheetml/2009/9/main" objectType="CheckBox" fmlaLink="C14" lockText="1" noThreeD="1"/>
</file>

<file path=xl/ctrlProps/ctrlProp13.xml><?xml version="1.0" encoding="utf-8"?>
<formControlPr xmlns="http://schemas.microsoft.com/office/spreadsheetml/2009/9/main" objectType="CheckBox" fmlaLink="C15" lockText="1" noThreeD="1"/>
</file>

<file path=xl/ctrlProps/ctrlProp14.xml><?xml version="1.0" encoding="utf-8"?>
<formControlPr xmlns="http://schemas.microsoft.com/office/spreadsheetml/2009/9/main" objectType="CheckBox" fmlaLink="C16" lockText="1" noThreeD="1"/>
</file>

<file path=xl/ctrlProps/ctrlProp15.xml><?xml version="1.0" encoding="utf-8"?>
<formControlPr xmlns="http://schemas.microsoft.com/office/spreadsheetml/2009/9/main" objectType="CheckBox" fmlaLink="C17" lockText="1" noThreeD="1"/>
</file>

<file path=xl/ctrlProps/ctrlProp16.xml><?xml version="1.0" encoding="utf-8"?>
<formControlPr xmlns="http://schemas.microsoft.com/office/spreadsheetml/2009/9/main" objectType="CheckBox" fmlaLink="C18" lockText="1" noThreeD="1"/>
</file>

<file path=xl/ctrlProps/ctrlProp17.xml><?xml version="1.0" encoding="utf-8"?>
<formControlPr xmlns="http://schemas.microsoft.com/office/spreadsheetml/2009/9/main" objectType="CheckBox" fmlaLink="C19" lockText="1" noThreeD="1"/>
</file>

<file path=xl/ctrlProps/ctrlProp18.xml><?xml version="1.0" encoding="utf-8"?>
<formControlPr xmlns="http://schemas.microsoft.com/office/spreadsheetml/2009/9/main" objectType="CheckBox" fmlaLink="C20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2</xdr:row>
          <xdr:rowOff>31750</xdr:rowOff>
        </xdr:from>
        <xdr:to>
          <xdr:col>1</xdr:col>
          <xdr:colOff>349250</xdr:colOff>
          <xdr:row>2</xdr:row>
          <xdr:rowOff>222250</xdr:rowOff>
        </xdr:to>
        <xdr:sp macro="" textlink="">
          <xdr:nvSpPr>
            <xdr:cNvPr id="1025" name="Check Box 1" descr="Anex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3</xdr:row>
          <xdr:rowOff>31750</xdr:rowOff>
        </xdr:from>
        <xdr:to>
          <xdr:col>1</xdr:col>
          <xdr:colOff>349250</xdr:colOff>
          <xdr:row>3</xdr:row>
          <xdr:rowOff>222250</xdr:rowOff>
        </xdr:to>
        <xdr:sp macro="" textlink="">
          <xdr:nvSpPr>
            <xdr:cNvPr id="1026" name="Check Box 2" descr="Anex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4</xdr:row>
          <xdr:rowOff>31750</xdr:rowOff>
        </xdr:from>
        <xdr:to>
          <xdr:col>1</xdr:col>
          <xdr:colOff>349250</xdr:colOff>
          <xdr:row>4</xdr:row>
          <xdr:rowOff>222250</xdr:rowOff>
        </xdr:to>
        <xdr:sp macro="" textlink="">
          <xdr:nvSpPr>
            <xdr:cNvPr id="1027" name="Check Box 3" descr="Anex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5</xdr:row>
          <xdr:rowOff>31750</xdr:rowOff>
        </xdr:from>
        <xdr:to>
          <xdr:col>1</xdr:col>
          <xdr:colOff>349250</xdr:colOff>
          <xdr:row>5</xdr:row>
          <xdr:rowOff>222250</xdr:rowOff>
        </xdr:to>
        <xdr:sp macro="" textlink="">
          <xdr:nvSpPr>
            <xdr:cNvPr id="1028" name="Check Box 4" descr="Anexa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6</xdr:row>
          <xdr:rowOff>31750</xdr:rowOff>
        </xdr:from>
        <xdr:to>
          <xdr:col>1</xdr:col>
          <xdr:colOff>349250</xdr:colOff>
          <xdr:row>6</xdr:row>
          <xdr:rowOff>222250</xdr:rowOff>
        </xdr:to>
        <xdr:sp macro="" textlink="">
          <xdr:nvSpPr>
            <xdr:cNvPr id="1029" name="Check Box 5" descr="Anex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7</xdr:row>
          <xdr:rowOff>31750</xdr:rowOff>
        </xdr:from>
        <xdr:to>
          <xdr:col>1</xdr:col>
          <xdr:colOff>349250</xdr:colOff>
          <xdr:row>7</xdr:row>
          <xdr:rowOff>222250</xdr:rowOff>
        </xdr:to>
        <xdr:sp macro="" textlink="">
          <xdr:nvSpPr>
            <xdr:cNvPr id="1030" name="Check Box 6" descr="Anexa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8</xdr:row>
          <xdr:rowOff>31750</xdr:rowOff>
        </xdr:from>
        <xdr:to>
          <xdr:col>1</xdr:col>
          <xdr:colOff>349250</xdr:colOff>
          <xdr:row>8</xdr:row>
          <xdr:rowOff>222250</xdr:rowOff>
        </xdr:to>
        <xdr:sp macro="" textlink="">
          <xdr:nvSpPr>
            <xdr:cNvPr id="1031" name="Check Box 7" descr="Anex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9</xdr:row>
          <xdr:rowOff>31750</xdr:rowOff>
        </xdr:from>
        <xdr:to>
          <xdr:col>1</xdr:col>
          <xdr:colOff>349250</xdr:colOff>
          <xdr:row>9</xdr:row>
          <xdr:rowOff>222250</xdr:rowOff>
        </xdr:to>
        <xdr:sp macro="" textlink="">
          <xdr:nvSpPr>
            <xdr:cNvPr id="1032" name="Check Box 8" descr="Anex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10</xdr:row>
          <xdr:rowOff>31750</xdr:rowOff>
        </xdr:from>
        <xdr:to>
          <xdr:col>1</xdr:col>
          <xdr:colOff>349250</xdr:colOff>
          <xdr:row>10</xdr:row>
          <xdr:rowOff>222250</xdr:rowOff>
        </xdr:to>
        <xdr:sp macro="" textlink="">
          <xdr:nvSpPr>
            <xdr:cNvPr id="1033" name="Check Box 9" descr="Anexa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11</xdr:row>
          <xdr:rowOff>31750</xdr:rowOff>
        </xdr:from>
        <xdr:to>
          <xdr:col>1</xdr:col>
          <xdr:colOff>349250</xdr:colOff>
          <xdr:row>11</xdr:row>
          <xdr:rowOff>222250</xdr:rowOff>
        </xdr:to>
        <xdr:sp macro="" textlink="">
          <xdr:nvSpPr>
            <xdr:cNvPr id="1034" name="Check Box 10" descr="Anex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12</xdr:row>
          <xdr:rowOff>31750</xdr:rowOff>
        </xdr:from>
        <xdr:to>
          <xdr:col>1</xdr:col>
          <xdr:colOff>349250</xdr:colOff>
          <xdr:row>12</xdr:row>
          <xdr:rowOff>222250</xdr:rowOff>
        </xdr:to>
        <xdr:sp macro="" textlink="">
          <xdr:nvSpPr>
            <xdr:cNvPr id="1035" name="Check Box 11" descr="Anex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13</xdr:row>
          <xdr:rowOff>31750</xdr:rowOff>
        </xdr:from>
        <xdr:to>
          <xdr:col>1</xdr:col>
          <xdr:colOff>349250</xdr:colOff>
          <xdr:row>13</xdr:row>
          <xdr:rowOff>222250</xdr:rowOff>
        </xdr:to>
        <xdr:sp macro="" textlink="">
          <xdr:nvSpPr>
            <xdr:cNvPr id="1036" name="Check Box 12" descr="Anexar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14</xdr:row>
          <xdr:rowOff>31750</xdr:rowOff>
        </xdr:from>
        <xdr:to>
          <xdr:col>1</xdr:col>
          <xdr:colOff>349250</xdr:colOff>
          <xdr:row>14</xdr:row>
          <xdr:rowOff>222250</xdr:rowOff>
        </xdr:to>
        <xdr:sp macro="" textlink="">
          <xdr:nvSpPr>
            <xdr:cNvPr id="1037" name="Check Box 13" descr="Anexa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15</xdr:row>
          <xdr:rowOff>31750</xdr:rowOff>
        </xdr:from>
        <xdr:to>
          <xdr:col>1</xdr:col>
          <xdr:colOff>349250</xdr:colOff>
          <xdr:row>15</xdr:row>
          <xdr:rowOff>222250</xdr:rowOff>
        </xdr:to>
        <xdr:sp macro="" textlink="">
          <xdr:nvSpPr>
            <xdr:cNvPr id="1038" name="Check Box 14" descr="Anexa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16</xdr:row>
          <xdr:rowOff>31750</xdr:rowOff>
        </xdr:from>
        <xdr:to>
          <xdr:col>1</xdr:col>
          <xdr:colOff>349250</xdr:colOff>
          <xdr:row>16</xdr:row>
          <xdr:rowOff>222250</xdr:rowOff>
        </xdr:to>
        <xdr:sp macro="" textlink="">
          <xdr:nvSpPr>
            <xdr:cNvPr id="1039" name="Check Box 15" descr="Anexar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17</xdr:row>
          <xdr:rowOff>31750</xdr:rowOff>
        </xdr:from>
        <xdr:to>
          <xdr:col>1</xdr:col>
          <xdr:colOff>349250</xdr:colOff>
          <xdr:row>17</xdr:row>
          <xdr:rowOff>222250</xdr:rowOff>
        </xdr:to>
        <xdr:sp macro="" textlink="">
          <xdr:nvSpPr>
            <xdr:cNvPr id="1040" name="Check Box 16" descr="Anex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18</xdr:row>
          <xdr:rowOff>31750</xdr:rowOff>
        </xdr:from>
        <xdr:to>
          <xdr:col>1</xdr:col>
          <xdr:colOff>349250</xdr:colOff>
          <xdr:row>18</xdr:row>
          <xdr:rowOff>222250</xdr:rowOff>
        </xdr:to>
        <xdr:sp macro="" textlink="">
          <xdr:nvSpPr>
            <xdr:cNvPr id="1041" name="Check Box 17" descr="Anexa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139700</xdr:colOff>
          <xdr:row>19</xdr:row>
          <xdr:rowOff>31750</xdr:rowOff>
        </xdr:from>
        <xdr:to>
          <xdr:col>1</xdr:col>
          <xdr:colOff>349250</xdr:colOff>
          <xdr:row>20</xdr:row>
          <xdr:rowOff>38100</xdr:rowOff>
        </xdr:to>
        <xdr:sp macro="" textlink="">
          <xdr:nvSpPr>
            <xdr:cNvPr id="1042" name="Check Box 18" descr="Anexa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8080" mc:Ignorable="a14" a14:legacySpreadsheetColorIndex="2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44450</xdr:colOff>
      <xdr:row>5</xdr:row>
      <xdr:rowOff>31750</xdr:rowOff>
    </xdr:from>
    <xdr:to>
      <xdr:col>6</xdr:col>
      <xdr:colOff>476250</xdr:colOff>
      <xdr:row>7</xdr:row>
      <xdr:rowOff>63500</xdr:rowOff>
    </xdr:to>
    <xdr:sp macro="[0]!UnirConsultasConColumnasAlineadasCorregi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825C1EE-7905-371A-56AA-97BBDD8B2553}"/>
            </a:ext>
          </a:extLst>
        </xdr:cNvPr>
        <xdr:cNvSpPr/>
      </xdr:nvSpPr>
      <xdr:spPr>
        <a:xfrm>
          <a:off x="3613150" y="996950"/>
          <a:ext cx="1193800" cy="552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latin typeface="Aptos" panose="020B0004020202020204" pitchFamily="34" charset="0"/>
            </a:rPr>
            <a:t>Unir Consultas Seleccionadas</a:t>
          </a:r>
        </a:p>
      </xdr:txBody>
    </xdr:sp>
    <xdr:clientData/>
  </xdr:twoCellAnchor>
  <xdr:twoCellAnchor>
    <xdr:from>
      <xdr:col>5</xdr:col>
      <xdr:colOff>50800</xdr:colOff>
      <xdr:row>2</xdr:row>
      <xdr:rowOff>57150</xdr:rowOff>
    </xdr:from>
    <xdr:to>
      <xdr:col>6</xdr:col>
      <xdr:colOff>400050</xdr:colOff>
      <xdr:row>3</xdr:row>
      <xdr:rowOff>247650</xdr:rowOff>
    </xdr:to>
    <xdr:sp macro="[0]!Módulo2.GenerarResumenPorCompañi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DC6ABDC-681A-3672-D29A-B307AB275ED2}"/>
            </a:ext>
          </a:extLst>
        </xdr:cNvPr>
        <xdr:cNvSpPr/>
      </xdr:nvSpPr>
      <xdr:spPr>
        <a:xfrm>
          <a:off x="3619500" y="241300"/>
          <a:ext cx="1111250" cy="450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Crear Resumen Compañías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177800</xdr:colOff>
          <xdr:row>1</xdr:row>
          <xdr:rowOff>0</xdr:rowOff>
        </xdr:from>
        <xdr:to>
          <xdr:col>1</xdr:col>
          <xdr:colOff>355600</xdr:colOff>
          <xdr:row>2</xdr:row>
          <xdr:rowOff>0</xdr:rowOff>
        </xdr:to>
        <xdr:sp macro="" textlink="">
          <xdr:nvSpPr>
            <xdr:cNvPr id="1044" name="CheckTodo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88900</xdr:colOff>
      <xdr:row>1</xdr:row>
      <xdr:rowOff>63500</xdr:rowOff>
    </xdr:from>
    <xdr:to>
      <xdr:col>3</xdr:col>
      <xdr:colOff>565150</xdr:colOff>
      <xdr:row>4</xdr:row>
      <xdr:rowOff>31750</xdr:rowOff>
    </xdr:to>
    <xdr:sp macro="[0]!RenombrarArchivosSecuencialment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6232BF-45A7-191B-867A-16CB4228B90A}"/>
            </a:ext>
          </a:extLst>
        </xdr:cNvPr>
        <xdr:cNvSpPr/>
      </xdr:nvSpPr>
      <xdr:spPr>
        <a:xfrm>
          <a:off x="5422900" y="247650"/>
          <a:ext cx="1504950" cy="5207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Renombrar Archivos Secuencialmente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0</xdr:row>
      <xdr:rowOff>158750</xdr:rowOff>
    </xdr:from>
    <xdr:to>
      <xdr:col>6</xdr:col>
      <xdr:colOff>209550</xdr:colOff>
      <xdr:row>2</xdr:row>
      <xdr:rowOff>120650</xdr:rowOff>
    </xdr:to>
    <xdr:sp macro="[0]!BorrarContenidoCarpetasPorSelec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156819-36F8-25A6-B1F4-916BED6BC3D3}"/>
            </a:ext>
          </a:extLst>
        </xdr:cNvPr>
        <xdr:cNvSpPr/>
      </xdr:nvSpPr>
      <xdr:spPr>
        <a:xfrm>
          <a:off x="6470650" y="158750"/>
          <a:ext cx="1238250" cy="3302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Borrar Contenido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F082B8-E1DF-412F-94B3-4FE19793E5FE}" name="TablaSeleccion" displayName="TablaSeleccion" ref="A1:D20" totalsRowShown="0">
  <autoFilter ref="A1:D20" xr:uid="{3EF082B8-E1DF-412F-94B3-4FE19793E5FE}"/>
  <tableColumns count="4">
    <tableColumn id="1" xr3:uid="{24D17224-CF0E-4DD8-B0AB-E45C51D067DB}" name="Empresa"/>
    <tableColumn id="2" xr3:uid="{4F837632-D45E-4F1F-AE48-E7A28F54DE88}" name="Anexar"/>
    <tableColumn id="3" xr3:uid="{5BEFEE89-26D3-45FF-8CE5-32F914BE55AD}" name="Si/No"/>
    <tableColumn id="4" xr3:uid="{AC871C5F-B558-4CAC-9B92-DBA85C6BE87C}" name="Ru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table" Target="../tables/table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252F7-33D4-41CE-9A51-75DE5DA5513B}">
  <sheetPr codeName="Hoja8" filterMode="1"/>
  <dimension ref="A1:R329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6" sqref="F6"/>
    </sheetView>
  </sheetViews>
  <sheetFormatPr baseColWidth="10" defaultRowHeight="14.5" x14ac:dyDescent="0.35"/>
  <cols>
    <col min="6" max="6" width="22.1796875" customWidth="1"/>
    <col min="7" max="7" width="21.54296875" bestFit="1" customWidth="1"/>
    <col min="9" max="9" width="8.81640625" customWidth="1"/>
    <col min="10" max="10" width="12.6328125" bestFit="1" customWidth="1"/>
    <col min="11" max="11" width="13.453125" bestFit="1" customWidth="1"/>
    <col min="12" max="15" width="14.08984375" customWidth="1"/>
    <col min="17" max="17" width="19.453125" bestFit="1" customWidth="1"/>
    <col min="18" max="18" width="11.08984375" bestFit="1" customWidth="1"/>
  </cols>
  <sheetData>
    <row r="1" spans="1:18" x14ac:dyDescent="0.35">
      <c r="A1" t="s">
        <v>64</v>
      </c>
      <c r="B1" t="s">
        <v>65</v>
      </c>
      <c r="C1" t="s">
        <v>360</v>
      </c>
      <c r="D1" t="s">
        <v>4</v>
      </c>
      <c r="E1" t="s">
        <v>16</v>
      </c>
      <c r="F1" t="s">
        <v>5</v>
      </c>
      <c r="G1" t="s">
        <v>6</v>
      </c>
      <c r="H1" t="s">
        <v>17</v>
      </c>
      <c r="I1" t="s">
        <v>7</v>
      </c>
      <c r="J1" t="s">
        <v>8</v>
      </c>
      <c r="K1" t="s">
        <v>9</v>
      </c>
      <c r="L1" t="s">
        <v>10</v>
      </c>
      <c r="M1" t="s">
        <v>66</v>
      </c>
      <c r="N1" t="s">
        <v>67</v>
      </c>
      <c r="O1" t="s">
        <v>68</v>
      </c>
      <c r="P1" t="s">
        <v>18</v>
      </c>
      <c r="Q1" t="s">
        <v>16</v>
      </c>
      <c r="R1" t="s">
        <v>19</v>
      </c>
    </row>
    <row r="2" spans="1:18" ht="58" x14ac:dyDescent="0.35">
      <c r="A2">
        <v>2025</v>
      </c>
      <c r="B2">
        <v>6</v>
      </c>
      <c r="C2">
        <v>1</v>
      </c>
      <c r="D2" s="9">
        <v>45689</v>
      </c>
      <c r="E2" s="9"/>
      <c r="F2" t="s">
        <v>361</v>
      </c>
      <c r="G2" t="s">
        <v>70</v>
      </c>
      <c r="H2">
        <v>2293005200000</v>
      </c>
      <c r="I2" s="10" t="s">
        <v>71</v>
      </c>
      <c r="J2" s="1">
        <v>-2291628</v>
      </c>
      <c r="K2">
        <v>6.6666666666666599</v>
      </c>
      <c r="L2" s="1">
        <v>-343744.2</v>
      </c>
      <c r="M2" s="1"/>
      <c r="N2" s="1"/>
      <c r="O2" s="1"/>
      <c r="P2">
        <v>107610408</v>
      </c>
    </row>
    <row r="3" spans="1:18" x14ac:dyDescent="0.35">
      <c r="A3">
        <v>2025</v>
      </c>
      <c r="B3">
        <v>6</v>
      </c>
      <c r="C3">
        <v>2</v>
      </c>
      <c r="D3" s="9">
        <v>45658</v>
      </c>
      <c r="E3" s="9"/>
      <c r="F3" t="s">
        <v>361</v>
      </c>
      <c r="G3" t="s">
        <v>70</v>
      </c>
      <c r="H3">
        <v>2323043200000</v>
      </c>
      <c r="I3" t="s">
        <v>72</v>
      </c>
      <c r="J3" s="1">
        <v>-363660</v>
      </c>
      <c r="K3">
        <v>6.6666666666666599</v>
      </c>
      <c r="L3" s="1">
        <v>-54549</v>
      </c>
      <c r="M3" s="1"/>
      <c r="N3" s="1"/>
      <c r="O3" s="1"/>
      <c r="P3">
        <v>107426367</v>
      </c>
    </row>
    <row r="4" spans="1:18" x14ac:dyDescent="0.35">
      <c r="A4">
        <v>2025</v>
      </c>
      <c r="B4">
        <v>6</v>
      </c>
      <c r="C4">
        <v>3</v>
      </c>
      <c r="D4" s="9">
        <v>45689</v>
      </c>
      <c r="E4" s="9"/>
      <c r="F4" t="s">
        <v>361</v>
      </c>
      <c r="G4" t="s">
        <v>73</v>
      </c>
      <c r="H4">
        <v>2331772700000</v>
      </c>
      <c r="I4" t="s">
        <v>74</v>
      </c>
      <c r="J4" s="1">
        <v>-6984794</v>
      </c>
      <c r="K4">
        <v>8</v>
      </c>
      <c r="L4" s="1">
        <v>-873099.25</v>
      </c>
      <c r="M4" s="1"/>
      <c r="N4" s="1"/>
      <c r="O4" s="1"/>
      <c r="P4">
        <v>107669487</v>
      </c>
    </row>
    <row r="5" spans="1:18" x14ac:dyDescent="0.35">
      <c r="A5">
        <v>2025</v>
      </c>
      <c r="B5">
        <v>6</v>
      </c>
      <c r="C5">
        <v>4</v>
      </c>
      <c r="D5" s="9">
        <v>45689</v>
      </c>
      <c r="E5" s="9"/>
      <c r="F5" t="s">
        <v>361</v>
      </c>
      <c r="G5" t="s">
        <v>70</v>
      </c>
      <c r="H5">
        <v>2334421700000</v>
      </c>
      <c r="I5" t="s">
        <v>75</v>
      </c>
      <c r="J5" s="1">
        <v>-1870348</v>
      </c>
      <c r="K5">
        <v>6.6666666666666599</v>
      </c>
      <c r="L5" s="1">
        <v>-280552.2</v>
      </c>
      <c r="M5" s="1"/>
      <c r="N5" s="1"/>
      <c r="O5" s="1"/>
      <c r="P5">
        <v>107610564</v>
      </c>
    </row>
    <row r="6" spans="1:18" x14ac:dyDescent="0.35">
      <c r="A6">
        <v>2025</v>
      </c>
      <c r="B6">
        <v>6</v>
      </c>
      <c r="C6">
        <v>5</v>
      </c>
      <c r="D6" s="9">
        <v>45689</v>
      </c>
      <c r="E6" s="9"/>
      <c r="F6" t="s">
        <v>361</v>
      </c>
      <c r="G6" t="s">
        <v>70</v>
      </c>
      <c r="H6">
        <v>2334550700000</v>
      </c>
      <c r="I6" t="s">
        <v>76</v>
      </c>
      <c r="J6" s="1">
        <v>-70845</v>
      </c>
      <c r="K6">
        <v>6.6666666666666599</v>
      </c>
      <c r="L6" s="1">
        <v>-10626.75</v>
      </c>
      <c r="M6" s="1"/>
      <c r="N6" s="1"/>
      <c r="O6" s="1"/>
      <c r="P6">
        <v>107590352</v>
      </c>
    </row>
    <row r="7" spans="1:18" x14ac:dyDescent="0.35">
      <c r="A7">
        <v>2025</v>
      </c>
      <c r="B7">
        <v>6</v>
      </c>
      <c r="C7">
        <v>6</v>
      </c>
      <c r="D7" s="9">
        <v>45689</v>
      </c>
      <c r="E7" s="9"/>
      <c r="F7" t="s">
        <v>69</v>
      </c>
      <c r="G7" t="s">
        <v>70</v>
      </c>
      <c r="H7">
        <v>2338959900000</v>
      </c>
      <c r="I7" t="s">
        <v>77</v>
      </c>
      <c r="J7" s="1">
        <v>-3761391</v>
      </c>
      <c r="K7">
        <v>6.6666666666666599</v>
      </c>
      <c r="L7" s="1">
        <v>-564208.65</v>
      </c>
      <c r="M7" s="1"/>
      <c r="N7" s="1"/>
      <c r="O7" s="1"/>
      <c r="P7">
        <v>107546495</v>
      </c>
    </row>
    <row r="8" spans="1:18" x14ac:dyDescent="0.35">
      <c r="A8">
        <v>2025</v>
      </c>
      <c r="B8">
        <v>6</v>
      </c>
      <c r="C8">
        <v>7</v>
      </c>
      <c r="D8" s="9">
        <v>45658</v>
      </c>
      <c r="E8" s="9"/>
      <c r="F8" t="s">
        <v>69</v>
      </c>
      <c r="G8" t="s">
        <v>70</v>
      </c>
      <c r="H8">
        <v>2345146300000</v>
      </c>
      <c r="I8" t="s">
        <v>78</v>
      </c>
      <c r="J8" s="1">
        <v>-926418</v>
      </c>
      <c r="K8">
        <v>6.6666666666666599</v>
      </c>
      <c r="L8" s="1">
        <v>-138962.70000000001</v>
      </c>
      <c r="M8" s="1"/>
      <c r="N8" s="1"/>
      <c r="O8" s="1"/>
      <c r="P8">
        <v>107380994</v>
      </c>
    </row>
    <row r="9" spans="1:18" x14ac:dyDescent="0.35">
      <c r="A9">
        <v>2025</v>
      </c>
      <c r="B9">
        <v>6</v>
      </c>
      <c r="C9">
        <v>8</v>
      </c>
      <c r="D9" s="9">
        <v>45627</v>
      </c>
      <c r="E9" s="9"/>
      <c r="F9" t="s">
        <v>69</v>
      </c>
      <c r="G9" t="s">
        <v>70</v>
      </c>
      <c r="H9">
        <v>2345665000000</v>
      </c>
      <c r="I9" t="s">
        <v>79</v>
      </c>
      <c r="J9" s="1">
        <v>-1015367</v>
      </c>
      <c r="K9">
        <v>6.6666666666666599</v>
      </c>
      <c r="L9" s="1">
        <v>-152305.04999999999</v>
      </c>
      <c r="M9" s="1"/>
      <c r="N9" s="1"/>
      <c r="O9" s="1"/>
      <c r="P9">
        <v>106771730</v>
      </c>
    </row>
    <row r="10" spans="1:18" x14ac:dyDescent="0.35">
      <c r="A10">
        <v>2025</v>
      </c>
      <c r="B10">
        <v>6</v>
      </c>
      <c r="C10">
        <v>9</v>
      </c>
      <c r="D10" s="9">
        <v>45689</v>
      </c>
      <c r="E10" s="9"/>
      <c r="F10" t="s">
        <v>69</v>
      </c>
      <c r="G10" t="s">
        <v>70</v>
      </c>
      <c r="H10">
        <v>2345840600000</v>
      </c>
      <c r="I10" t="s">
        <v>80</v>
      </c>
      <c r="J10" s="1">
        <v>-1749995</v>
      </c>
      <c r="K10">
        <v>6.6666666666666599</v>
      </c>
      <c r="L10" s="1">
        <v>-262499.25</v>
      </c>
      <c r="M10" s="1"/>
      <c r="N10" s="1"/>
      <c r="O10" s="1"/>
      <c r="P10">
        <v>107658480</v>
      </c>
    </row>
    <row r="11" spans="1:18" x14ac:dyDescent="0.35">
      <c r="A11">
        <v>2025</v>
      </c>
      <c r="B11">
        <v>6</v>
      </c>
      <c r="C11">
        <v>10</v>
      </c>
      <c r="D11" s="9">
        <v>45658</v>
      </c>
      <c r="E11" s="9"/>
      <c r="F11" t="s">
        <v>69</v>
      </c>
      <c r="G11" t="s">
        <v>70</v>
      </c>
      <c r="H11">
        <v>2349055200000</v>
      </c>
      <c r="I11" t="s">
        <v>81</v>
      </c>
      <c r="J11" s="1">
        <v>-708167</v>
      </c>
      <c r="K11">
        <v>6.6666666666666599</v>
      </c>
      <c r="L11" s="1">
        <v>-106225.05</v>
      </c>
      <c r="M11" s="1"/>
      <c r="N11" s="1"/>
      <c r="O11" s="1"/>
      <c r="P11">
        <v>107357752</v>
      </c>
    </row>
    <row r="12" spans="1:18" x14ac:dyDescent="0.35">
      <c r="A12">
        <v>2025</v>
      </c>
      <c r="B12">
        <v>6</v>
      </c>
      <c r="C12">
        <v>11</v>
      </c>
      <c r="D12" s="9">
        <v>45658</v>
      </c>
      <c r="E12" s="9"/>
      <c r="F12" t="s">
        <v>69</v>
      </c>
      <c r="G12" t="s">
        <v>70</v>
      </c>
      <c r="H12">
        <v>2350745300000</v>
      </c>
      <c r="I12" t="s">
        <v>82</v>
      </c>
      <c r="J12" s="1">
        <v>-2315615</v>
      </c>
      <c r="K12">
        <v>6.6666666666666599</v>
      </c>
      <c r="L12" s="1">
        <v>-347342.25</v>
      </c>
      <c r="M12" s="1"/>
      <c r="N12" s="1"/>
      <c r="O12" s="1"/>
      <c r="P12">
        <v>107331310</v>
      </c>
    </row>
    <row r="13" spans="1:18" x14ac:dyDescent="0.35">
      <c r="A13">
        <v>2025</v>
      </c>
      <c r="B13">
        <v>6</v>
      </c>
      <c r="C13">
        <v>12</v>
      </c>
      <c r="D13" s="9">
        <v>45689</v>
      </c>
      <c r="E13" s="9"/>
      <c r="F13" t="s">
        <v>69</v>
      </c>
      <c r="G13" t="s">
        <v>70</v>
      </c>
      <c r="H13">
        <v>2356032400000</v>
      </c>
      <c r="I13" t="s">
        <v>83</v>
      </c>
      <c r="J13" s="1">
        <v>3185300</v>
      </c>
      <c r="K13">
        <v>6.6666666666666599</v>
      </c>
      <c r="L13" s="1">
        <v>477795</v>
      </c>
      <c r="M13" s="1"/>
      <c r="N13" s="1"/>
      <c r="O13" s="1"/>
      <c r="P13">
        <v>107308730</v>
      </c>
    </row>
    <row r="14" spans="1:18" x14ac:dyDescent="0.35">
      <c r="A14">
        <v>2025</v>
      </c>
      <c r="B14">
        <v>6</v>
      </c>
      <c r="C14">
        <v>13</v>
      </c>
      <c r="D14" s="9">
        <v>45689</v>
      </c>
      <c r="E14" s="9"/>
      <c r="F14" t="s">
        <v>69</v>
      </c>
      <c r="G14" t="s">
        <v>70</v>
      </c>
      <c r="H14">
        <v>2321543700000</v>
      </c>
      <c r="I14" t="s">
        <v>84</v>
      </c>
      <c r="J14" s="1">
        <v>-56498</v>
      </c>
      <c r="K14">
        <v>6.6666666666666599</v>
      </c>
      <c r="L14" s="1">
        <v>-8474.7000000000007</v>
      </c>
      <c r="M14" s="1"/>
      <c r="N14" s="1"/>
      <c r="O14" s="1"/>
      <c r="P14">
        <v>107625810</v>
      </c>
    </row>
    <row r="15" spans="1:18" ht="87" x14ac:dyDescent="0.35">
      <c r="A15">
        <v>2025</v>
      </c>
      <c r="B15">
        <v>6</v>
      </c>
      <c r="C15">
        <v>14</v>
      </c>
      <c r="D15" s="9">
        <v>45689</v>
      </c>
      <c r="E15" s="9"/>
      <c r="F15" t="s">
        <v>69</v>
      </c>
      <c r="G15" t="s">
        <v>85</v>
      </c>
      <c r="H15">
        <v>2196178100000</v>
      </c>
      <c r="I15" s="10" t="s">
        <v>86</v>
      </c>
      <c r="J15" s="1">
        <v>0</v>
      </c>
      <c r="K15" t="s">
        <v>87</v>
      </c>
      <c r="L15" s="1">
        <v>0</v>
      </c>
      <c r="M15" s="1"/>
      <c r="N15" s="1"/>
      <c r="O15" s="1"/>
      <c r="P15">
        <v>331879373</v>
      </c>
    </row>
    <row r="16" spans="1:18" x14ac:dyDescent="0.35">
      <c r="A16">
        <v>2025</v>
      </c>
      <c r="B16">
        <v>6</v>
      </c>
      <c r="C16">
        <v>15</v>
      </c>
      <c r="D16" s="9">
        <v>45658</v>
      </c>
      <c r="E16" s="9"/>
      <c r="F16" t="s">
        <v>69</v>
      </c>
      <c r="G16" t="s">
        <v>88</v>
      </c>
      <c r="H16">
        <v>2197999100000</v>
      </c>
      <c r="I16" t="s">
        <v>89</v>
      </c>
      <c r="J16" s="1">
        <v>978521</v>
      </c>
      <c r="K16">
        <v>20</v>
      </c>
      <c r="L16" s="1">
        <v>48926.05</v>
      </c>
      <c r="M16" s="1"/>
      <c r="N16" s="1"/>
      <c r="O16" s="1"/>
      <c r="P16">
        <v>330378229</v>
      </c>
    </row>
    <row r="17" spans="1:16" x14ac:dyDescent="0.35">
      <c r="A17">
        <v>2025</v>
      </c>
      <c r="B17">
        <v>6</v>
      </c>
      <c r="C17">
        <v>16</v>
      </c>
      <c r="D17" s="9">
        <v>45689</v>
      </c>
      <c r="E17" s="9"/>
      <c r="F17" t="s">
        <v>69</v>
      </c>
      <c r="G17" t="s">
        <v>88</v>
      </c>
      <c r="H17">
        <v>2211218000000</v>
      </c>
      <c r="I17" t="s">
        <v>90</v>
      </c>
      <c r="J17" s="1">
        <v>540617</v>
      </c>
      <c r="K17">
        <v>10</v>
      </c>
      <c r="L17" s="1">
        <v>54061.7</v>
      </c>
      <c r="M17" s="1"/>
      <c r="N17" s="1"/>
      <c r="O17" s="1"/>
      <c r="P17">
        <v>331881668</v>
      </c>
    </row>
    <row r="18" spans="1:16" x14ac:dyDescent="0.35">
      <c r="A18">
        <v>2025</v>
      </c>
      <c r="B18">
        <v>6</v>
      </c>
      <c r="C18">
        <v>17</v>
      </c>
      <c r="D18" s="9">
        <v>45689</v>
      </c>
      <c r="E18" s="9"/>
      <c r="F18" t="s">
        <v>69</v>
      </c>
      <c r="G18" t="s">
        <v>88</v>
      </c>
      <c r="H18">
        <v>2241077600000</v>
      </c>
      <c r="I18" t="s">
        <v>91</v>
      </c>
      <c r="J18" s="1">
        <v>5756273</v>
      </c>
      <c r="K18">
        <v>10</v>
      </c>
      <c r="L18" s="1">
        <v>575627.30000000005</v>
      </c>
      <c r="M18" s="1"/>
      <c r="N18" s="1"/>
      <c r="O18" s="1"/>
      <c r="P18">
        <v>331265003</v>
      </c>
    </row>
    <row r="19" spans="1:16" x14ac:dyDescent="0.35">
      <c r="A19">
        <v>2025</v>
      </c>
      <c r="B19">
        <v>6</v>
      </c>
      <c r="C19">
        <v>18</v>
      </c>
      <c r="D19" s="9">
        <v>45658</v>
      </c>
      <c r="E19" s="9"/>
      <c r="F19" t="s">
        <v>69</v>
      </c>
      <c r="G19" t="s">
        <v>92</v>
      </c>
      <c r="H19">
        <v>2246205000000</v>
      </c>
      <c r="I19" t="s">
        <v>93</v>
      </c>
      <c r="J19" s="1">
        <v>192500</v>
      </c>
      <c r="K19">
        <v>4</v>
      </c>
      <c r="L19" s="1">
        <v>48125</v>
      </c>
      <c r="M19" s="1"/>
      <c r="N19" s="1"/>
      <c r="O19" s="1"/>
      <c r="P19">
        <v>107298014</v>
      </c>
    </row>
    <row r="20" spans="1:16" x14ac:dyDescent="0.35">
      <c r="A20">
        <v>2025</v>
      </c>
      <c r="B20">
        <v>6</v>
      </c>
      <c r="C20">
        <v>19</v>
      </c>
      <c r="D20" s="9">
        <v>45658</v>
      </c>
      <c r="E20" s="9"/>
      <c r="F20" t="s">
        <v>69</v>
      </c>
      <c r="G20" t="s">
        <v>88</v>
      </c>
      <c r="H20">
        <v>2273804200000</v>
      </c>
      <c r="I20" t="s">
        <v>94</v>
      </c>
      <c r="J20" s="1">
        <v>1432964</v>
      </c>
      <c r="K20">
        <v>10</v>
      </c>
      <c r="L20" s="1">
        <v>143296.4</v>
      </c>
      <c r="M20" s="1"/>
      <c r="N20" s="1"/>
      <c r="O20" s="1"/>
      <c r="P20">
        <v>330412580</v>
      </c>
    </row>
    <row r="21" spans="1:16" x14ac:dyDescent="0.35">
      <c r="A21">
        <v>2025</v>
      </c>
      <c r="B21">
        <v>6</v>
      </c>
      <c r="C21">
        <v>20</v>
      </c>
      <c r="D21" s="9">
        <v>45689</v>
      </c>
      <c r="E21" s="9"/>
      <c r="F21" t="s">
        <v>69</v>
      </c>
      <c r="G21" t="s">
        <v>70</v>
      </c>
      <c r="H21">
        <v>2280602900000</v>
      </c>
      <c r="I21" t="s">
        <v>95</v>
      </c>
      <c r="J21" s="1">
        <v>2233705</v>
      </c>
      <c r="K21">
        <v>6.6666666666666599</v>
      </c>
      <c r="L21" s="1">
        <v>335055.75</v>
      </c>
      <c r="M21" s="1"/>
      <c r="N21" s="1"/>
      <c r="O21" s="1"/>
      <c r="P21">
        <v>331280622</v>
      </c>
    </row>
    <row r="22" spans="1:16" x14ac:dyDescent="0.35">
      <c r="A22">
        <v>2025</v>
      </c>
      <c r="B22">
        <v>6</v>
      </c>
      <c r="C22">
        <v>21</v>
      </c>
      <c r="D22" s="9">
        <v>45658</v>
      </c>
      <c r="E22" s="9"/>
      <c r="F22" t="s">
        <v>69</v>
      </c>
      <c r="G22" t="s">
        <v>70</v>
      </c>
      <c r="H22">
        <v>2283536400000</v>
      </c>
      <c r="I22" t="s">
        <v>96</v>
      </c>
      <c r="J22" s="1">
        <v>165038</v>
      </c>
      <c r="K22">
        <v>6.6666666666666599</v>
      </c>
      <c r="L22" s="1">
        <v>24755.7</v>
      </c>
      <c r="M22" s="1"/>
      <c r="N22" s="1"/>
      <c r="O22" s="1"/>
      <c r="P22">
        <v>330420443</v>
      </c>
    </row>
    <row r="23" spans="1:16" x14ac:dyDescent="0.35">
      <c r="A23">
        <v>2025</v>
      </c>
      <c r="B23">
        <v>6</v>
      </c>
      <c r="C23">
        <v>22</v>
      </c>
      <c r="D23" s="9">
        <v>45689</v>
      </c>
      <c r="E23" s="9"/>
      <c r="F23" t="s">
        <v>69</v>
      </c>
      <c r="G23" t="s">
        <v>70</v>
      </c>
      <c r="H23">
        <v>2283684000000</v>
      </c>
      <c r="I23" t="s">
        <v>97</v>
      </c>
      <c r="J23" s="1">
        <v>2877325</v>
      </c>
      <c r="K23">
        <v>6.6666666666666599</v>
      </c>
      <c r="L23" s="1">
        <v>431598.75</v>
      </c>
      <c r="M23" s="1"/>
      <c r="N23" s="1"/>
      <c r="O23" s="1"/>
      <c r="P23">
        <v>331291496</v>
      </c>
    </row>
    <row r="24" spans="1:16" x14ac:dyDescent="0.35">
      <c r="A24">
        <v>2025</v>
      </c>
      <c r="B24">
        <v>6</v>
      </c>
      <c r="C24">
        <v>23</v>
      </c>
      <c r="D24" s="9">
        <v>45689</v>
      </c>
      <c r="E24" s="9"/>
      <c r="F24" t="s">
        <v>69</v>
      </c>
      <c r="G24" t="s">
        <v>70</v>
      </c>
      <c r="H24">
        <v>2284205700000</v>
      </c>
      <c r="I24" t="s">
        <v>98</v>
      </c>
      <c r="J24" s="1">
        <v>1409129</v>
      </c>
      <c r="K24">
        <v>6.6666666666666599</v>
      </c>
      <c r="L24" s="1">
        <v>211369.35</v>
      </c>
      <c r="M24" s="1"/>
      <c r="N24" s="1"/>
      <c r="O24" s="1"/>
      <c r="P24">
        <v>331295471</v>
      </c>
    </row>
    <row r="25" spans="1:16" x14ac:dyDescent="0.35">
      <c r="A25">
        <v>2025</v>
      </c>
      <c r="B25">
        <v>6</v>
      </c>
      <c r="C25">
        <v>24</v>
      </c>
      <c r="D25" s="9">
        <v>45689</v>
      </c>
      <c r="E25" s="9"/>
      <c r="F25" t="s">
        <v>69</v>
      </c>
      <c r="G25" t="s">
        <v>70</v>
      </c>
      <c r="H25">
        <v>2285124700000</v>
      </c>
      <c r="I25" t="s">
        <v>99</v>
      </c>
      <c r="J25" s="1">
        <v>2218708</v>
      </c>
      <c r="K25">
        <v>6.6666666666666599</v>
      </c>
      <c r="L25" s="1">
        <v>332806.2</v>
      </c>
      <c r="M25" s="1"/>
      <c r="N25" s="1"/>
      <c r="O25" s="1"/>
      <c r="P25">
        <v>331301923</v>
      </c>
    </row>
    <row r="26" spans="1:16" x14ac:dyDescent="0.35">
      <c r="A26">
        <v>2025</v>
      </c>
      <c r="B26">
        <v>6</v>
      </c>
      <c r="C26">
        <v>25</v>
      </c>
      <c r="D26" s="9">
        <v>45658</v>
      </c>
      <c r="E26" s="9"/>
      <c r="F26" t="s">
        <v>69</v>
      </c>
      <c r="G26" t="s">
        <v>70</v>
      </c>
      <c r="H26">
        <v>2285326500000</v>
      </c>
      <c r="I26" t="s">
        <v>100</v>
      </c>
      <c r="J26" s="1">
        <v>124827</v>
      </c>
      <c r="K26">
        <v>6.6666666666666599</v>
      </c>
      <c r="L26" s="1">
        <v>18724.05</v>
      </c>
      <c r="M26" s="1"/>
      <c r="N26" s="1"/>
      <c r="O26" s="1"/>
      <c r="P26">
        <v>330422290</v>
      </c>
    </row>
    <row r="27" spans="1:16" x14ac:dyDescent="0.35">
      <c r="A27">
        <v>2025</v>
      </c>
      <c r="B27">
        <v>6</v>
      </c>
      <c r="C27">
        <v>26</v>
      </c>
      <c r="D27" s="9">
        <v>45658</v>
      </c>
      <c r="E27" s="9"/>
      <c r="F27" t="s">
        <v>69</v>
      </c>
      <c r="G27" t="s">
        <v>70</v>
      </c>
      <c r="H27">
        <v>2289693100000</v>
      </c>
      <c r="I27" t="s">
        <v>101</v>
      </c>
      <c r="J27" s="1">
        <v>243609</v>
      </c>
      <c r="K27">
        <v>6.6666666666666599</v>
      </c>
      <c r="L27" s="1">
        <v>36541.35</v>
      </c>
      <c r="M27" s="1"/>
      <c r="N27" s="1"/>
      <c r="O27" s="1"/>
      <c r="P27">
        <v>330427356</v>
      </c>
    </row>
    <row r="28" spans="1:16" x14ac:dyDescent="0.35">
      <c r="A28">
        <v>2025</v>
      </c>
      <c r="B28">
        <v>6</v>
      </c>
      <c r="C28">
        <v>27</v>
      </c>
      <c r="D28" s="9">
        <v>45658</v>
      </c>
      <c r="E28" s="9"/>
      <c r="F28" t="s">
        <v>69</v>
      </c>
      <c r="G28" t="s">
        <v>70</v>
      </c>
      <c r="H28">
        <v>2294779700000</v>
      </c>
      <c r="I28" t="s">
        <v>102</v>
      </c>
      <c r="J28" s="1">
        <v>155311</v>
      </c>
      <c r="K28">
        <v>6.6666666666666599</v>
      </c>
      <c r="L28" s="1">
        <v>23296.65</v>
      </c>
      <c r="M28" s="1"/>
      <c r="N28" s="1"/>
      <c r="O28" s="1"/>
      <c r="P28">
        <v>330432752</v>
      </c>
    </row>
    <row r="29" spans="1:16" x14ac:dyDescent="0.35">
      <c r="A29">
        <v>2025</v>
      </c>
      <c r="B29">
        <v>6</v>
      </c>
      <c r="C29">
        <v>28</v>
      </c>
      <c r="D29" s="9">
        <v>45658</v>
      </c>
      <c r="E29" s="9"/>
      <c r="F29" t="s">
        <v>69</v>
      </c>
      <c r="G29" t="s">
        <v>70</v>
      </c>
      <c r="H29">
        <v>2296077800000</v>
      </c>
      <c r="I29" t="s">
        <v>103</v>
      </c>
      <c r="J29" s="1">
        <v>119465</v>
      </c>
      <c r="K29">
        <v>6.6666666666666599</v>
      </c>
      <c r="L29" s="1">
        <v>17919.75</v>
      </c>
      <c r="M29" s="1"/>
      <c r="N29" s="1"/>
      <c r="O29" s="1"/>
      <c r="P29">
        <v>330433875</v>
      </c>
    </row>
    <row r="30" spans="1:16" x14ac:dyDescent="0.35">
      <c r="A30">
        <v>2025</v>
      </c>
      <c r="B30">
        <v>6</v>
      </c>
      <c r="C30">
        <v>29</v>
      </c>
      <c r="D30" s="9">
        <v>45658</v>
      </c>
      <c r="E30" s="9"/>
      <c r="F30" t="s">
        <v>69</v>
      </c>
      <c r="G30" t="s">
        <v>70</v>
      </c>
      <c r="H30">
        <v>2297959800000</v>
      </c>
      <c r="I30" t="s">
        <v>104</v>
      </c>
      <c r="J30" s="1">
        <v>177021</v>
      </c>
      <c r="K30">
        <v>6.6666666666666599</v>
      </c>
      <c r="L30" s="1">
        <v>26553.15</v>
      </c>
      <c r="M30" s="1"/>
      <c r="N30" s="1"/>
      <c r="O30" s="1"/>
      <c r="P30">
        <v>330435722</v>
      </c>
    </row>
    <row r="31" spans="1:16" x14ac:dyDescent="0.35">
      <c r="A31">
        <v>2025</v>
      </c>
      <c r="B31">
        <v>6</v>
      </c>
      <c r="C31">
        <v>30</v>
      </c>
      <c r="D31" s="9">
        <v>45689</v>
      </c>
      <c r="E31" s="9"/>
      <c r="F31" t="s">
        <v>69</v>
      </c>
      <c r="G31" t="s">
        <v>105</v>
      </c>
      <c r="H31">
        <v>2298779500000</v>
      </c>
      <c r="I31" t="s">
        <v>106</v>
      </c>
      <c r="J31" s="1">
        <v>45742</v>
      </c>
      <c r="K31">
        <v>5</v>
      </c>
      <c r="L31" s="1">
        <v>9148.4</v>
      </c>
      <c r="M31" s="1"/>
      <c r="N31" s="1"/>
      <c r="O31" s="1"/>
      <c r="P31">
        <v>331090294</v>
      </c>
    </row>
    <row r="32" spans="1:16" x14ac:dyDescent="0.35">
      <c r="A32">
        <v>2025</v>
      </c>
      <c r="B32">
        <v>6</v>
      </c>
      <c r="C32">
        <v>31</v>
      </c>
      <c r="D32" s="9">
        <v>45689</v>
      </c>
      <c r="E32" s="9"/>
      <c r="F32" t="s">
        <v>69</v>
      </c>
      <c r="G32" t="s">
        <v>70</v>
      </c>
      <c r="H32">
        <v>2299719100000</v>
      </c>
      <c r="I32" t="s">
        <v>107</v>
      </c>
      <c r="J32" s="1">
        <v>155610</v>
      </c>
      <c r="K32">
        <v>6.6666666666666599</v>
      </c>
      <c r="L32" s="1">
        <v>23341.5</v>
      </c>
      <c r="M32" s="1"/>
      <c r="N32" s="1"/>
      <c r="O32" s="1"/>
      <c r="P32">
        <v>331936173</v>
      </c>
    </row>
    <row r="33" spans="1:16" x14ac:dyDescent="0.35">
      <c r="A33">
        <v>2025</v>
      </c>
      <c r="B33">
        <v>6</v>
      </c>
      <c r="C33">
        <v>32</v>
      </c>
      <c r="D33" s="9">
        <v>45627</v>
      </c>
      <c r="E33" s="9"/>
      <c r="F33" t="s">
        <v>69</v>
      </c>
      <c r="G33" t="s">
        <v>70</v>
      </c>
      <c r="H33">
        <v>2301739600000</v>
      </c>
      <c r="I33" t="s">
        <v>108</v>
      </c>
      <c r="J33" s="1">
        <v>156437</v>
      </c>
      <c r="K33">
        <v>6.6666666666666599</v>
      </c>
      <c r="L33" s="1">
        <v>23465.55</v>
      </c>
      <c r="M33" s="1"/>
      <c r="N33" s="1"/>
      <c r="O33" s="1"/>
      <c r="P33">
        <v>329126340</v>
      </c>
    </row>
    <row r="34" spans="1:16" x14ac:dyDescent="0.35">
      <c r="A34">
        <v>2025</v>
      </c>
      <c r="B34">
        <v>6</v>
      </c>
      <c r="C34">
        <v>33</v>
      </c>
      <c r="D34" s="9">
        <v>45689</v>
      </c>
      <c r="E34" s="9"/>
      <c r="F34" t="s">
        <v>69</v>
      </c>
      <c r="G34" t="s">
        <v>70</v>
      </c>
      <c r="H34">
        <v>2301840300000</v>
      </c>
      <c r="I34" t="s">
        <v>109</v>
      </c>
      <c r="J34" s="1">
        <v>275802</v>
      </c>
      <c r="K34">
        <v>6.6666666666666599</v>
      </c>
      <c r="L34" s="1">
        <v>41370.300000000003</v>
      </c>
      <c r="M34" s="1"/>
      <c r="N34" s="1"/>
      <c r="O34" s="1"/>
      <c r="P34">
        <v>331938518</v>
      </c>
    </row>
    <row r="35" spans="1:16" x14ac:dyDescent="0.35">
      <c r="A35">
        <v>2025</v>
      </c>
      <c r="B35">
        <v>6</v>
      </c>
      <c r="C35">
        <v>34</v>
      </c>
      <c r="D35" s="9">
        <v>45658</v>
      </c>
      <c r="E35" s="9"/>
      <c r="F35" t="s">
        <v>69</v>
      </c>
      <c r="G35" t="s">
        <v>88</v>
      </c>
      <c r="H35">
        <v>2304464000000</v>
      </c>
      <c r="I35" t="s">
        <v>110</v>
      </c>
      <c r="J35" s="1">
        <v>338041</v>
      </c>
      <c r="K35">
        <v>10</v>
      </c>
      <c r="L35" s="1">
        <v>33804.1</v>
      </c>
      <c r="M35" s="1"/>
      <c r="N35" s="1"/>
      <c r="O35" s="1"/>
      <c r="P35">
        <v>330447602</v>
      </c>
    </row>
    <row r="36" spans="1:16" x14ac:dyDescent="0.35">
      <c r="A36">
        <v>2025</v>
      </c>
      <c r="B36">
        <v>6</v>
      </c>
      <c r="C36">
        <v>35</v>
      </c>
      <c r="D36" s="9">
        <v>45689</v>
      </c>
      <c r="E36" s="9"/>
      <c r="F36" t="s">
        <v>69</v>
      </c>
      <c r="G36" t="s">
        <v>70</v>
      </c>
      <c r="H36">
        <v>2305027800000</v>
      </c>
      <c r="I36" t="s">
        <v>111</v>
      </c>
      <c r="J36" s="1">
        <v>3590062</v>
      </c>
      <c r="K36">
        <v>6.6666666666666599</v>
      </c>
      <c r="L36" s="1">
        <v>538509.30000000005</v>
      </c>
      <c r="M36" s="1"/>
      <c r="N36" s="1"/>
      <c r="O36" s="1"/>
      <c r="P36">
        <v>331321608</v>
      </c>
    </row>
    <row r="37" spans="1:16" x14ac:dyDescent="0.35">
      <c r="A37">
        <v>2025</v>
      </c>
      <c r="B37">
        <v>6</v>
      </c>
      <c r="C37">
        <v>36</v>
      </c>
      <c r="D37" s="9">
        <v>45689</v>
      </c>
      <c r="E37" s="9"/>
      <c r="F37" t="s">
        <v>69</v>
      </c>
      <c r="G37" t="s">
        <v>70</v>
      </c>
      <c r="H37">
        <v>2305953900000</v>
      </c>
      <c r="I37" t="s">
        <v>112</v>
      </c>
      <c r="J37" s="1">
        <v>2184072</v>
      </c>
      <c r="K37">
        <v>6.6666666666666599</v>
      </c>
      <c r="L37" s="1">
        <v>327610.8</v>
      </c>
      <c r="M37" s="1"/>
      <c r="N37" s="1"/>
      <c r="O37" s="1"/>
      <c r="P37">
        <v>331331086</v>
      </c>
    </row>
    <row r="38" spans="1:16" x14ac:dyDescent="0.35">
      <c r="A38">
        <v>2025</v>
      </c>
      <c r="B38">
        <v>6</v>
      </c>
      <c r="C38">
        <v>37</v>
      </c>
      <c r="D38" s="9">
        <v>45658</v>
      </c>
      <c r="E38" s="9"/>
      <c r="F38" t="s">
        <v>69</v>
      </c>
      <c r="G38" t="s">
        <v>70</v>
      </c>
      <c r="H38">
        <v>2307915500000</v>
      </c>
      <c r="I38" t="s">
        <v>113</v>
      </c>
      <c r="J38" s="1">
        <v>186467</v>
      </c>
      <c r="K38">
        <v>6.6666666666666599</v>
      </c>
      <c r="L38" s="1">
        <v>27970.05</v>
      </c>
      <c r="M38" s="1"/>
      <c r="N38" s="1"/>
      <c r="O38" s="1"/>
      <c r="P38">
        <v>330453303</v>
      </c>
    </row>
    <row r="39" spans="1:16" x14ac:dyDescent="0.35">
      <c r="A39">
        <v>2025</v>
      </c>
      <c r="B39">
        <v>6</v>
      </c>
      <c r="C39">
        <v>38</v>
      </c>
      <c r="D39" s="9">
        <v>45658</v>
      </c>
      <c r="E39" s="9"/>
      <c r="F39" t="s">
        <v>69</v>
      </c>
      <c r="G39" t="s">
        <v>70</v>
      </c>
      <c r="H39">
        <v>2310437200000</v>
      </c>
      <c r="I39" t="s">
        <v>114</v>
      </c>
      <c r="J39" s="1">
        <v>256900</v>
      </c>
      <c r="K39">
        <v>6.6666666666666599</v>
      </c>
      <c r="L39" s="1">
        <v>38535</v>
      </c>
      <c r="M39" s="1"/>
      <c r="N39" s="1"/>
      <c r="O39" s="1"/>
      <c r="P39">
        <v>330457262</v>
      </c>
    </row>
    <row r="40" spans="1:16" x14ac:dyDescent="0.35">
      <c r="A40">
        <v>2025</v>
      </c>
      <c r="B40">
        <v>6</v>
      </c>
      <c r="C40">
        <v>39</v>
      </c>
      <c r="D40" s="9">
        <v>45658</v>
      </c>
      <c r="E40" s="9"/>
      <c r="F40" t="s">
        <v>69</v>
      </c>
      <c r="G40" t="s">
        <v>70</v>
      </c>
      <c r="H40">
        <v>2310609000000</v>
      </c>
      <c r="I40" t="s">
        <v>115</v>
      </c>
      <c r="J40" s="1">
        <v>246517</v>
      </c>
      <c r="K40">
        <v>6.6666666666666599</v>
      </c>
      <c r="L40" s="1">
        <v>36977.550000000003</v>
      </c>
      <c r="M40" s="1"/>
      <c r="N40" s="1"/>
      <c r="O40" s="1"/>
      <c r="P40">
        <v>330457619</v>
      </c>
    </row>
    <row r="41" spans="1:16" x14ac:dyDescent="0.35">
      <c r="A41">
        <v>2025</v>
      </c>
      <c r="B41">
        <v>6</v>
      </c>
      <c r="C41">
        <v>40</v>
      </c>
      <c r="D41" s="9">
        <v>45689</v>
      </c>
      <c r="E41" s="9"/>
      <c r="F41" t="s">
        <v>69</v>
      </c>
      <c r="G41" t="s">
        <v>70</v>
      </c>
      <c r="H41">
        <v>2311252200000</v>
      </c>
      <c r="I41" t="s">
        <v>116</v>
      </c>
      <c r="J41" s="1">
        <v>269406</v>
      </c>
      <c r="K41">
        <v>6.6666666666666599</v>
      </c>
      <c r="L41" s="1">
        <v>40410.9</v>
      </c>
      <c r="M41" s="1"/>
      <c r="N41" s="1"/>
      <c r="O41" s="1"/>
      <c r="P41">
        <v>331949283</v>
      </c>
    </row>
    <row r="42" spans="1:16" x14ac:dyDescent="0.35">
      <c r="A42">
        <v>2025</v>
      </c>
      <c r="B42">
        <v>6</v>
      </c>
      <c r="C42">
        <v>41</v>
      </c>
      <c r="D42" s="9">
        <v>45689</v>
      </c>
      <c r="E42" s="9"/>
      <c r="F42" t="s">
        <v>69</v>
      </c>
      <c r="G42" t="s">
        <v>70</v>
      </c>
      <c r="H42">
        <v>2312314400000</v>
      </c>
      <c r="I42" t="s">
        <v>117</v>
      </c>
      <c r="J42" s="1">
        <v>357587</v>
      </c>
      <c r="K42">
        <v>6.6666666666666599</v>
      </c>
      <c r="L42" s="1">
        <v>53638.05</v>
      </c>
      <c r="M42" s="1"/>
      <c r="N42" s="1"/>
      <c r="O42" s="1"/>
      <c r="P42">
        <v>331950984</v>
      </c>
    </row>
    <row r="43" spans="1:16" x14ac:dyDescent="0.35">
      <c r="A43">
        <v>2025</v>
      </c>
      <c r="B43">
        <v>6</v>
      </c>
      <c r="C43">
        <v>42</v>
      </c>
      <c r="D43" s="9">
        <v>45658</v>
      </c>
      <c r="E43" s="9"/>
      <c r="F43" t="s">
        <v>69</v>
      </c>
      <c r="G43" t="s">
        <v>70</v>
      </c>
      <c r="H43">
        <v>2312543700000</v>
      </c>
      <c r="I43" t="s">
        <v>118</v>
      </c>
      <c r="J43" s="1">
        <v>302973</v>
      </c>
      <c r="K43">
        <v>6.6666666666666599</v>
      </c>
      <c r="L43" s="1">
        <v>45445.95</v>
      </c>
      <c r="M43" s="1"/>
      <c r="N43" s="1"/>
      <c r="O43" s="1"/>
      <c r="P43">
        <v>330461199</v>
      </c>
    </row>
    <row r="44" spans="1:16" x14ac:dyDescent="0.35">
      <c r="A44">
        <v>2025</v>
      </c>
      <c r="B44">
        <v>6</v>
      </c>
      <c r="C44">
        <v>43</v>
      </c>
      <c r="D44" s="9">
        <v>45658</v>
      </c>
      <c r="E44" s="9"/>
      <c r="F44" t="s">
        <v>69</v>
      </c>
      <c r="G44" t="s">
        <v>70</v>
      </c>
      <c r="H44">
        <v>2312685700000</v>
      </c>
      <c r="I44" t="s">
        <v>119</v>
      </c>
      <c r="J44" s="1">
        <v>793901</v>
      </c>
      <c r="K44">
        <v>6.6666666666666599</v>
      </c>
      <c r="L44" s="1">
        <v>119085.15</v>
      </c>
      <c r="M44" s="1"/>
      <c r="N44" s="1"/>
      <c r="O44" s="1"/>
      <c r="P44">
        <v>330461538</v>
      </c>
    </row>
    <row r="45" spans="1:16" x14ac:dyDescent="0.35">
      <c r="A45">
        <v>2025</v>
      </c>
      <c r="B45">
        <v>6</v>
      </c>
      <c r="C45">
        <v>44</v>
      </c>
      <c r="D45" s="9">
        <v>45689</v>
      </c>
      <c r="E45" s="9"/>
      <c r="F45" t="s">
        <v>69</v>
      </c>
      <c r="G45" t="s">
        <v>70</v>
      </c>
      <c r="H45">
        <v>2313973700000</v>
      </c>
      <c r="I45" t="s">
        <v>120</v>
      </c>
      <c r="J45" s="1">
        <v>230403</v>
      </c>
      <c r="K45">
        <v>6.6666666666666599</v>
      </c>
      <c r="L45" s="1">
        <v>34560.449999999997</v>
      </c>
      <c r="M45" s="1"/>
      <c r="N45" s="1"/>
      <c r="O45" s="1"/>
      <c r="P45">
        <v>331954457</v>
      </c>
    </row>
    <row r="46" spans="1:16" x14ac:dyDescent="0.35">
      <c r="A46">
        <v>2025</v>
      </c>
      <c r="B46">
        <v>6</v>
      </c>
      <c r="C46">
        <v>45</v>
      </c>
      <c r="D46" s="9">
        <v>45689</v>
      </c>
      <c r="E46" s="9"/>
      <c r="F46" t="s">
        <v>69</v>
      </c>
      <c r="G46" t="s">
        <v>70</v>
      </c>
      <c r="H46">
        <v>2314109600000</v>
      </c>
      <c r="I46" t="s">
        <v>121</v>
      </c>
      <c r="J46" s="1">
        <v>256272</v>
      </c>
      <c r="K46">
        <v>6.6666666666666599</v>
      </c>
      <c r="L46" s="1">
        <v>38440.800000000003</v>
      </c>
      <c r="M46" s="1"/>
      <c r="N46" s="1"/>
      <c r="O46" s="1"/>
      <c r="P46">
        <v>331954663</v>
      </c>
    </row>
    <row r="47" spans="1:16" x14ac:dyDescent="0.35">
      <c r="A47">
        <v>2025</v>
      </c>
      <c r="B47">
        <v>6</v>
      </c>
      <c r="C47">
        <v>46</v>
      </c>
      <c r="D47" s="9">
        <v>45658</v>
      </c>
      <c r="E47" s="9"/>
      <c r="F47" t="s">
        <v>69</v>
      </c>
      <c r="G47" t="s">
        <v>70</v>
      </c>
      <c r="H47">
        <v>2314825200000</v>
      </c>
      <c r="I47" t="s">
        <v>122</v>
      </c>
      <c r="J47" s="1">
        <v>274993</v>
      </c>
      <c r="K47">
        <v>6.6666666666666599</v>
      </c>
      <c r="L47" s="1">
        <v>41248.949999999997</v>
      </c>
      <c r="M47" s="1"/>
      <c r="N47" s="1"/>
      <c r="O47" s="1"/>
      <c r="P47">
        <v>330465331</v>
      </c>
    </row>
    <row r="48" spans="1:16" x14ac:dyDescent="0.35">
      <c r="A48">
        <v>2025</v>
      </c>
      <c r="B48">
        <v>6</v>
      </c>
      <c r="C48">
        <v>47</v>
      </c>
      <c r="D48" s="9">
        <v>45689</v>
      </c>
      <c r="E48" s="9"/>
      <c r="F48" t="s">
        <v>69</v>
      </c>
      <c r="G48" t="s">
        <v>70</v>
      </c>
      <c r="H48">
        <v>2314825200000</v>
      </c>
      <c r="I48" t="s">
        <v>122</v>
      </c>
      <c r="J48" s="1">
        <v>274993</v>
      </c>
      <c r="K48">
        <v>6.6666666666666599</v>
      </c>
      <c r="L48" s="1">
        <v>41248.949999999997</v>
      </c>
      <c r="M48" s="1"/>
      <c r="N48" s="1"/>
      <c r="O48" s="1"/>
      <c r="P48">
        <v>331956015</v>
      </c>
    </row>
    <row r="49" spans="1:16" x14ac:dyDescent="0.35">
      <c r="A49">
        <v>2025</v>
      </c>
      <c r="B49">
        <v>6</v>
      </c>
      <c r="C49">
        <v>48</v>
      </c>
      <c r="D49" s="9">
        <v>45717</v>
      </c>
      <c r="E49" s="9"/>
      <c r="F49" t="s">
        <v>69</v>
      </c>
      <c r="G49" t="s">
        <v>70</v>
      </c>
      <c r="H49">
        <v>2314825200000</v>
      </c>
      <c r="I49" t="s">
        <v>122</v>
      </c>
      <c r="J49" s="1">
        <v>274993</v>
      </c>
      <c r="K49">
        <v>6.6666666666666599</v>
      </c>
      <c r="L49" s="1">
        <v>41248.949999999997</v>
      </c>
      <c r="M49" s="1"/>
      <c r="N49" s="1"/>
      <c r="O49" s="1"/>
      <c r="P49">
        <v>333767204</v>
      </c>
    </row>
    <row r="50" spans="1:16" x14ac:dyDescent="0.35">
      <c r="A50">
        <v>2025</v>
      </c>
      <c r="B50">
        <v>6</v>
      </c>
      <c r="C50">
        <v>49</v>
      </c>
      <c r="D50" s="9">
        <v>45689</v>
      </c>
      <c r="E50" s="9"/>
      <c r="F50" t="s">
        <v>69</v>
      </c>
      <c r="G50" t="s">
        <v>70</v>
      </c>
      <c r="H50">
        <v>2315143400000</v>
      </c>
      <c r="I50" t="s">
        <v>123</v>
      </c>
      <c r="J50" s="1">
        <v>265821</v>
      </c>
      <c r="K50">
        <v>6.6666666666666599</v>
      </c>
      <c r="L50" s="1">
        <v>39873.15</v>
      </c>
      <c r="M50" s="1"/>
      <c r="N50" s="1"/>
      <c r="O50" s="1"/>
      <c r="P50">
        <v>331956486</v>
      </c>
    </row>
    <row r="51" spans="1:16" x14ac:dyDescent="0.35">
      <c r="A51">
        <v>2025</v>
      </c>
      <c r="B51">
        <v>6</v>
      </c>
      <c r="C51">
        <v>50</v>
      </c>
      <c r="D51" s="9">
        <v>45658</v>
      </c>
      <c r="E51" s="9"/>
      <c r="F51" t="s">
        <v>69</v>
      </c>
      <c r="G51" t="s">
        <v>70</v>
      </c>
      <c r="H51">
        <v>2315354400000</v>
      </c>
      <c r="I51" t="s">
        <v>124</v>
      </c>
      <c r="J51" s="1">
        <v>272216</v>
      </c>
      <c r="K51">
        <v>6.6666666666666599</v>
      </c>
      <c r="L51" s="1">
        <v>40832.400000000001</v>
      </c>
      <c r="M51" s="1"/>
      <c r="N51" s="1"/>
      <c r="O51" s="1"/>
      <c r="P51">
        <v>330466123</v>
      </c>
    </row>
    <row r="52" spans="1:16" x14ac:dyDescent="0.35">
      <c r="A52">
        <v>2025</v>
      </c>
      <c r="B52">
        <v>6</v>
      </c>
      <c r="C52">
        <v>51</v>
      </c>
      <c r="D52" s="9">
        <v>45658</v>
      </c>
      <c r="E52" s="9"/>
      <c r="F52" t="s">
        <v>69</v>
      </c>
      <c r="G52" t="s">
        <v>70</v>
      </c>
      <c r="H52">
        <v>2315811000000</v>
      </c>
      <c r="I52" t="s">
        <v>125</v>
      </c>
      <c r="J52" s="1">
        <v>164971</v>
      </c>
      <c r="K52">
        <v>6.6666666666666599</v>
      </c>
      <c r="L52" s="1">
        <v>24745.65</v>
      </c>
      <c r="M52" s="1"/>
      <c r="N52" s="1"/>
      <c r="O52" s="1"/>
      <c r="P52">
        <v>330466925</v>
      </c>
    </row>
    <row r="53" spans="1:16" x14ac:dyDescent="0.35">
      <c r="A53">
        <v>2025</v>
      </c>
      <c r="B53">
        <v>6</v>
      </c>
      <c r="C53">
        <v>52</v>
      </c>
      <c r="D53" s="9">
        <v>45658</v>
      </c>
      <c r="E53" s="9"/>
      <c r="F53" t="s">
        <v>69</v>
      </c>
      <c r="G53" t="s">
        <v>88</v>
      </c>
      <c r="H53">
        <v>2316304700000</v>
      </c>
      <c r="I53" t="s">
        <v>126</v>
      </c>
      <c r="J53" s="1">
        <v>762772</v>
      </c>
      <c r="K53">
        <v>10</v>
      </c>
      <c r="L53" s="1">
        <v>76277.2</v>
      </c>
      <c r="M53" s="1"/>
      <c r="N53" s="1"/>
      <c r="O53" s="1"/>
      <c r="P53">
        <v>330467956</v>
      </c>
    </row>
    <row r="54" spans="1:16" x14ac:dyDescent="0.35">
      <c r="A54">
        <v>2025</v>
      </c>
      <c r="B54">
        <v>6</v>
      </c>
      <c r="C54">
        <v>53</v>
      </c>
      <c r="D54" s="9">
        <v>45689</v>
      </c>
      <c r="E54" s="9"/>
      <c r="F54" t="s">
        <v>69</v>
      </c>
      <c r="G54" t="s">
        <v>88</v>
      </c>
      <c r="H54">
        <v>2316304700000</v>
      </c>
      <c r="I54" t="s">
        <v>126</v>
      </c>
      <c r="J54" s="1">
        <v>762772</v>
      </c>
      <c r="K54">
        <v>10</v>
      </c>
      <c r="L54" s="1">
        <v>76277.2</v>
      </c>
      <c r="M54" s="1"/>
      <c r="N54" s="1"/>
      <c r="O54" s="1"/>
      <c r="P54">
        <v>331958474</v>
      </c>
    </row>
    <row r="55" spans="1:16" x14ac:dyDescent="0.35">
      <c r="A55">
        <v>2025</v>
      </c>
      <c r="B55">
        <v>6</v>
      </c>
      <c r="C55">
        <v>54</v>
      </c>
      <c r="D55" s="9">
        <v>45658</v>
      </c>
      <c r="E55" s="9"/>
      <c r="F55" t="s">
        <v>69</v>
      </c>
      <c r="G55" t="s">
        <v>127</v>
      </c>
      <c r="H55">
        <v>2316393100000</v>
      </c>
      <c r="I55" t="s">
        <v>128</v>
      </c>
      <c r="J55" s="1">
        <v>5585453</v>
      </c>
      <c r="K55">
        <v>9.0909090909090899</v>
      </c>
      <c r="L55" s="1">
        <v>614399.82999999996</v>
      </c>
      <c r="M55" s="1"/>
      <c r="N55" s="1"/>
      <c r="O55" s="1"/>
      <c r="P55">
        <v>330468160</v>
      </c>
    </row>
    <row r="56" spans="1:16" x14ac:dyDescent="0.35">
      <c r="A56">
        <v>2025</v>
      </c>
      <c r="B56">
        <v>6</v>
      </c>
      <c r="C56">
        <v>55</v>
      </c>
      <c r="D56" s="9">
        <v>45689</v>
      </c>
      <c r="E56" s="9"/>
      <c r="F56" t="s">
        <v>69</v>
      </c>
      <c r="G56" t="s">
        <v>70</v>
      </c>
      <c r="H56">
        <v>2316830600000</v>
      </c>
      <c r="I56" t="s">
        <v>129</v>
      </c>
      <c r="J56" s="1">
        <v>253384</v>
      </c>
      <c r="K56">
        <v>6.6666666666666599</v>
      </c>
      <c r="L56" s="1">
        <v>38007.599999999999</v>
      </c>
      <c r="M56" s="1"/>
      <c r="N56" s="1"/>
      <c r="O56" s="1"/>
      <c r="P56">
        <v>331959449</v>
      </c>
    </row>
    <row r="57" spans="1:16" x14ac:dyDescent="0.35">
      <c r="A57">
        <v>2025</v>
      </c>
      <c r="B57">
        <v>6</v>
      </c>
      <c r="C57">
        <v>56</v>
      </c>
      <c r="D57" s="9">
        <v>45658</v>
      </c>
      <c r="E57" s="9"/>
      <c r="F57" t="s">
        <v>69</v>
      </c>
      <c r="G57" t="s">
        <v>70</v>
      </c>
      <c r="H57">
        <v>2318094100000</v>
      </c>
      <c r="I57" t="s">
        <v>130</v>
      </c>
      <c r="J57" s="1">
        <v>168508</v>
      </c>
      <c r="K57">
        <v>6.6666666666666599</v>
      </c>
      <c r="L57" s="1">
        <v>25276.2</v>
      </c>
      <c r="M57" s="1"/>
      <c r="N57" s="1"/>
      <c r="O57" s="1"/>
      <c r="P57">
        <v>330471271</v>
      </c>
    </row>
    <row r="58" spans="1:16" x14ac:dyDescent="0.35">
      <c r="A58">
        <v>2025</v>
      </c>
      <c r="B58">
        <v>6</v>
      </c>
      <c r="C58">
        <v>57</v>
      </c>
      <c r="D58" s="9">
        <v>45658</v>
      </c>
      <c r="E58" s="9"/>
      <c r="F58" t="s">
        <v>69</v>
      </c>
      <c r="G58" t="s">
        <v>70</v>
      </c>
      <c r="H58">
        <v>2318856700000</v>
      </c>
      <c r="I58" t="s">
        <v>131</v>
      </c>
      <c r="J58" s="1">
        <v>202977</v>
      </c>
      <c r="K58">
        <v>6.6666666666666599</v>
      </c>
      <c r="L58" s="1">
        <v>30446.55</v>
      </c>
      <c r="M58" s="1"/>
      <c r="N58" s="1"/>
      <c r="O58" s="1"/>
      <c r="P58">
        <v>330472907</v>
      </c>
    </row>
    <row r="59" spans="1:16" x14ac:dyDescent="0.35">
      <c r="A59">
        <v>2025</v>
      </c>
      <c r="B59">
        <v>6</v>
      </c>
      <c r="C59">
        <v>58</v>
      </c>
      <c r="D59" s="9">
        <v>45658</v>
      </c>
      <c r="E59" s="9"/>
      <c r="F59" t="s">
        <v>69</v>
      </c>
      <c r="G59" t="s">
        <v>70</v>
      </c>
      <c r="H59">
        <v>2319910800000</v>
      </c>
      <c r="I59" t="s">
        <v>132</v>
      </c>
      <c r="J59" s="1">
        <v>223207</v>
      </c>
      <c r="K59">
        <v>6.6666666666666599</v>
      </c>
      <c r="L59" s="1">
        <v>33481.050000000003</v>
      </c>
      <c r="M59" s="1"/>
      <c r="N59" s="1"/>
      <c r="O59" s="1"/>
      <c r="P59">
        <v>330260138</v>
      </c>
    </row>
    <row r="60" spans="1:16" x14ac:dyDescent="0.35">
      <c r="A60">
        <v>2025</v>
      </c>
      <c r="B60">
        <v>6</v>
      </c>
      <c r="C60">
        <v>59</v>
      </c>
      <c r="D60" s="9">
        <v>45658</v>
      </c>
      <c r="E60" s="9"/>
      <c r="F60" t="s">
        <v>69</v>
      </c>
      <c r="G60" t="s">
        <v>70</v>
      </c>
      <c r="H60">
        <v>2320215600000</v>
      </c>
      <c r="I60" t="s">
        <v>133</v>
      </c>
      <c r="J60" s="1">
        <v>3157809</v>
      </c>
      <c r="K60">
        <v>6.6666666666666599</v>
      </c>
      <c r="L60" s="1">
        <v>473671.35</v>
      </c>
      <c r="M60" s="1"/>
      <c r="N60" s="1"/>
      <c r="O60" s="1"/>
      <c r="P60">
        <v>330267950</v>
      </c>
    </row>
    <row r="61" spans="1:16" x14ac:dyDescent="0.35">
      <c r="A61">
        <v>2025</v>
      </c>
      <c r="B61">
        <v>6</v>
      </c>
      <c r="C61">
        <v>60</v>
      </c>
      <c r="D61" s="9">
        <v>45658</v>
      </c>
      <c r="E61" s="9"/>
      <c r="F61" t="s">
        <v>69</v>
      </c>
      <c r="G61" t="s">
        <v>70</v>
      </c>
      <c r="H61">
        <v>2320345300000</v>
      </c>
      <c r="I61" t="s">
        <v>134</v>
      </c>
      <c r="J61" s="1">
        <v>234055</v>
      </c>
      <c r="K61">
        <v>6.6666666666666599</v>
      </c>
      <c r="L61" s="1">
        <v>35108.25</v>
      </c>
      <c r="M61" s="1"/>
      <c r="N61" s="1"/>
      <c r="O61" s="1"/>
      <c r="P61">
        <v>330474598</v>
      </c>
    </row>
    <row r="62" spans="1:16" x14ac:dyDescent="0.35">
      <c r="A62">
        <v>2025</v>
      </c>
      <c r="B62">
        <v>6</v>
      </c>
      <c r="C62">
        <v>61</v>
      </c>
      <c r="D62" s="9">
        <v>45658</v>
      </c>
      <c r="E62" s="9"/>
      <c r="F62" t="s">
        <v>69</v>
      </c>
      <c r="G62" t="s">
        <v>70</v>
      </c>
      <c r="H62">
        <v>2320485000000</v>
      </c>
      <c r="I62" t="s">
        <v>135</v>
      </c>
      <c r="J62" s="1">
        <v>3034868</v>
      </c>
      <c r="K62">
        <v>6.6666666666666599</v>
      </c>
      <c r="L62" s="1">
        <v>455230.2</v>
      </c>
      <c r="M62" s="1"/>
      <c r="N62" s="1"/>
      <c r="O62" s="1"/>
      <c r="P62">
        <v>330274162</v>
      </c>
    </row>
    <row r="63" spans="1:16" x14ac:dyDescent="0.35">
      <c r="A63">
        <v>2025</v>
      </c>
      <c r="B63">
        <v>6</v>
      </c>
      <c r="C63">
        <v>62</v>
      </c>
      <c r="D63" s="9">
        <v>45658</v>
      </c>
      <c r="E63" s="9"/>
      <c r="F63" t="s">
        <v>69</v>
      </c>
      <c r="G63" t="s">
        <v>70</v>
      </c>
      <c r="H63">
        <v>2320868000000</v>
      </c>
      <c r="I63" t="s">
        <v>136</v>
      </c>
      <c r="J63" s="1">
        <v>243349</v>
      </c>
      <c r="K63">
        <v>6.6666666666666599</v>
      </c>
      <c r="L63" s="1">
        <v>36502.35</v>
      </c>
      <c r="M63" s="1"/>
      <c r="N63" s="1"/>
      <c r="O63" s="1"/>
      <c r="P63">
        <v>330475421</v>
      </c>
    </row>
    <row r="64" spans="1:16" x14ac:dyDescent="0.35">
      <c r="A64">
        <v>2025</v>
      </c>
      <c r="B64">
        <v>6</v>
      </c>
      <c r="C64">
        <v>63</v>
      </c>
      <c r="D64" s="9">
        <v>45689</v>
      </c>
      <c r="E64" s="9"/>
      <c r="F64" t="s">
        <v>69</v>
      </c>
      <c r="G64" t="s">
        <v>70</v>
      </c>
      <c r="H64">
        <v>2321439900000</v>
      </c>
      <c r="I64" t="s">
        <v>137</v>
      </c>
      <c r="J64" s="1">
        <v>219505</v>
      </c>
      <c r="K64">
        <v>6.6666666666666599</v>
      </c>
      <c r="L64" s="1">
        <v>32925.75</v>
      </c>
      <c r="M64" s="1"/>
      <c r="N64" s="1"/>
      <c r="O64" s="1"/>
      <c r="P64">
        <v>331355275</v>
      </c>
    </row>
    <row r="65" spans="1:16" x14ac:dyDescent="0.35">
      <c r="A65">
        <v>2025</v>
      </c>
      <c r="B65">
        <v>6</v>
      </c>
      <c r="C65">
        <v>64</v>
      </c>
      <c r="D65" s="9">
        <v>45658</v>
      </c>
      <c r="E65" s="9"/>
      <c r="F65" t="s">
        <v>69</v>
      </c>
      <c r="G65" t="s">
        <v>70</v>
      </c>
      <c r="H65">
        <v>2321488300000</v>
      </c>
      <c r="I65" t="s">
        <v>138</v>
      </c>
      <c r="J65" s="1">
        <v>257758</v>
      </c>
      <c r="K65">
        <v>6.6666666666666599</v>
      </c>
      <c r="L65" s="1">
        <v>38663.699999999997</v>
      </c>
      <c r="M65" s="1"/>
      <c r="N65" s="1"/>
      <c r="O65" s="1"/>
      <c r="P65">
        <v>330478011</v>
      </c>
    </row>
    <row r="66" spans="1:16" x14ac:dyDescent="0.35">
      <c r="A66">
        <v>2025</v>
      </c>
      <c r="B66">
        <v>6</v>
      </c>
      <c r="C66">
        <v>65</v>
      </c>
      <c r="D66" s="9">
        <v>45689</v>
      </c>
      <c r="E66" s="9"/>
      <c r="F66" t="s">
        <v>69</v>
      </c>
      <c r="G66" t="s">
        <v>105</v>
      </c>
      <c r="H66">
        <v>2321549300000</v>
      </c>
      <c r="I66" t="s">
        <v>139</v>
      </c>
      <c r="J66" s="1">
        <v>578091</v>
      </c>
      <c r="K66">
        <v>5</v>
      </c>
      <c r="L66" s="1">
        <v>115618.2</v>
      </c>
      <c r="M66" s="1"/>
      <c r="N66" s="1"/>
      <c r="O66" s="1"/>
      <c r="P66">
        <v>331358204</v>
      </c>
    </row>
    <row r="67" spans="1:16" x14ac:dyDescent="0.35">
      <c r="A67">
        <v>2025</v>
      </c>
      <c r="B67">
        <v>6</v>
      </c>
      <c r="C67">
        <v>66</v>
      </c>
      <c r="D67" s="9">
        <v>45689</v>
      </c>
      <c r="E67" s="9"/>
      <c r="F67" t="s">
        <v>69</v>
      </c>
      <c r="G67" t="s">
        <v>70</v>
      </c>
      <c r="H67">
        <v>2321774100000</v>
      </c>
      <c r="I67" t="s">
        <v>140</v>
      </c>
      <c r="J67" s="1">
        <v>1015942</v>
      </c>
      <c r="K67">
        <v>6.6666666666666599</v>
      </c>
      <c r="L67" s="1">
        <v>152391.29999999999</v>
      </c>
      <c r="M67" s="1"/>
      <c r="N67" s="1"/>
      <c r="O67" s="1"/>
      <c r="P67">
        <v>331363626</v>
      </c>
    </row>
    <row r="68" spans="1:16" x14ac:dyDescent="0.35">
      <c r="A68">
        <v>2025</v>
      </c>
      <c r="B68">
        <v>6</v>
      </c>
      <c r="C68">
        <v>67</v>
      </c>
      <c r="D68" s="9">
        <v>45689</v>
      </c>
      <c r="E68" s="9"/>
      <c r="F68" t="s">
        <v>69</v>
      </c>
      <c r="G68" t="s">
        <v>70</v>
      </c>
      <c r="H68">
        <v>2322368600000</v>
      </c>
      <c r="I68" t="s">
        <v>141</v>
      </c>
      <c r="J68" s="1">
        <v>3149069</v>
      </c>
      <c r="K68">
        <v>6.6666666666666599</v>
      </c>
      <c r="L68" s="1">
        <v>472360.35</v>
      </c>
      <c r="M68" s="1"/>
      <c r="N68" s="1"/>
      <c r="O68" s="1"/>
      <c r="P68">
        <v>331370381</v>
      </c>
    </row>
    <row r="69" spans="1:16" x14ac:dyDescent="0.35">
      <c r="A69">
        <v>2025</v>
      </c>
      <c r="B69">
        <v>6</v>
      </c>
      <c r="C69">
        <v>68</v>
      </c>
      <c r="D69" s="9">
        <v>45658</v>
      </c>
      <c r="E69" s="9"/>
      <c r="F69" t="s">
        <v>69</v>
      </c>
      <c r="G69" t="s">
        <v>70</v>
      </c>
      <c r="H69">
        <v>2322655000000</v>
      </c>
      <c r="I69" t="s">
        <v>142</v>
      </c>
      <c r="J69" s="1">
        <v>272700</v>
      </c>
      <c r="K69">
        <v>6.6666666666666599</v>
      </c>
      <c r="L69" s="1">
        <v>40905</v>
      </c>
      <c r="M69" s="1"/>
      <c r="N69" s="1"/>
      <c r="O69" s="1"/>
      <c r="P69">
        <v>330481916</v>
      </c>
    </row>
    <row r="70" spans="1:16" x14ac:dyDescent="0.35">
      <c r="A70">
        <v>2025</v>
      </c>
      <c r="B70">
        <v>6</v>
      </c>
      <c r="C70">
        <v>69</v>
      </c>
      <c r="D70" s="9">
        <v>45658</v>
      </c>
      <c r="E70" s="9"/>
      <c r="F70" t="s">
        <v>69</v>
      </c>
      <c r="G70" t="s">
        <v>70</v>
      </c>
      <c r="H70">
        <v>2323318400000</v>
      </c>
      <c r="I70" t="s">
        <v>143</v>
      </c>
      <c r="J70" s="1">
        <v>177602</v>
      </c>
      <c r="K70">
        <v>6.6666666666666599</v>
      </c>
      <c r="L70" s="1">
        <v>26640.3</v>
      </c>
      <c r="M70" s="1"/>
      <c r="N70" s="1"/>
      <c r="O70" s="1"/>
      <c r="P70">
        <v>330485354</v>
      </c>
    </row>
    <row r="71" spans="1:16" x14ac:dyDescent="0.35">
      <c r="A71">
        <v>2025</v>
      </c>
      <c r="B71">
        <v>6</v>
      </c>
      <c r="C71">
        <v>70</v>
      </c>
      <c r="D71" s="9">
        <v>45689</v>
      </c>
      <c r="E71" s="9"/>
      <c r="F71" t="s">
        <v>69</v>
      </c>
      <c r="G71" t="s">
        <v>70</v>
      </c>
      <c r="H71">
        <v>2323428000000</v>
      </c>
      <c r="I71" t="s">
        <v>144</v>
      </c>
      <c r="J71" s="1">
        <v>138826</v>
      </c>
      <c r="K71">
        <v>6.6666666666666599</v>
      </c>
      <c r="L71" s="1">
        <v>20823.900000000001</v>
      </c>
      <c r="M71" s="1"/>
      <c r="N71" s="1"/>
      <c r="O71" s="1"/>
      <c r="P71">
        <v>331973929</v>
      </c>
    </row>
    <row r="72" spans="1:16" x14ac:dyDescent="0.35">
      <c r="A72">
        <v>2025</v>
      </c>
      <c r="B72">
        <v>6</v>
      </c>
      <c r="C72">
        <v>71</v>
      </c>
      <c r="D72" s="9">
        <v>45689</v>
      </c>
      <c r="E72" s="9"/>
      <c r="F72" t="s">
        <v>69</v>
      </c>
      <c r="G72" t="s">
        <v>70</v>
      </c>
      <c r="H72">
        <v>2323652000000</v>
      </c>
      <c r="I72" t="s">
        <v>145</v>
      </c>
      <c r="J72" s="1">
        <v>218229</v>
      </c>
      <c r="K72">
        <v>6.6666666666666599</v>
      </c>
      <c r="L72" s="1">
        <v>32734.35</v>
      </c>
      <c r="M72" s="1"/>
      <c r="N72" s="1"/>
      <c r="O72" s="1"/>
      <c r="P72">
        <v>331974562</v>
      </c>
    </row>
    <row r="73" spans="1:16" x14ac:dyDescent="0.35">
      <c r="A73">
        <v>2025</v>
      </c>
      <c r="B73">
        <v>6</v>
      </c>
      <c r="C73">
        <v>72</v>
      </c>
      <c r="D73" s="9">
        <v>45689</v>
      </c>
      <c r="E73" s="9"/>
      <c r="F73" t="s">
        <v>69</v>
      </c>
      <c r="G73" t="s">
        <v>70</v>
      </c>
      <c r="H73">
        <v>2323896200000</v>
      </c>
      <c r="I73" t="s">
        <v>146</v>
      </c>
      <c r="J73" s="1">
        <v>82934</v>
      </c>
      <c r="K73">
        <v>6.6666666666666599</v>
      </c>
      <c r="L73" s="1">
        <v>12440.1</v>
      </c>
      <c r="M73" s="1"/>
      <c r="N73" s="1"/>
      <c r="O73" s="1"/>
      <c r="P73">
        <v>107645156</v>
      </c>
    </row>
    <row r="74" spans="1:16" x14ac:dyDescent="0.35">
      <c r="A74">
        <v>2025</v>
      </c>
      <c r="B74">
        <v>6</v>
      </c>
      <c r="C74">
        <v>73</v>
      </c>
      <c r="D74" s="9">
        <v>45658</v>
      </c>
      <c r="E74" s="9"/>
      <c r="F74" t="s">
        <v>69</v>
      </c>
      <c r="G74" t="s">
        <v>70</v>
      </c>
      <c r="H74">
        <v>2323896200000</v>
      </c>
      <c r="I74" t="s">
        <v>146</v>
      </c>
      <c r="J74" s="1">
        <v>414672</v>
      </c>
      <c r="K74">
        <v>6.6666666666666599</v>
      </c>
      <c r="L74" s="1">
        <v>62200.800000000003</v>
      </c>
      <c r="M74" s="1"/>
      <c r="N74" s="1"/>
      <c r="O74" s="1"/>
      <c r="P74">
        <v>330487459</v>
      </c>
    </row>
    <row r="75" spans="1:16" x14ac:dyDescent="0.35">
      <c r="A75">
        <v>2025</v>
      </c>
      <c r="B75">
        <v>6</v>
      </c>
      <c r="C75">
        <v>74</v>
      </c>
      <c r="D75" s="9">
        <v>45658</v>
      </c>
      <c r="E75" s="9"/>
      <c r="F75" t="s">
        <v>69</v>
      </c>
      <c r="G75" t="s">
        <v>70</v>
      </c>
      <c r="H75">
        <v>2324006700000</v>
      </c>
      <c r="I75" t="s">
        <v>147</v>
      </c>
      <c r="J75" s="1">
        <v>228082</v>
      </c>
      <c r="K75">
        <v>6.6666666666666599</v>
      </c>
      <c r="L75" s="1">
        <v>34212.300000000003</v>
      </c>
      <c r="M75" s="1"/>
      <c r="N75" s="1"/>
      <c r="O75" s="1"/>
      <c r="P75">
        <v>330487715</v>
      </c>
    </row>
    <row r="76" spans="1:16" x14ac:dyDescent="0.35">
      <c r="A76">
        <v>2025</v>
      </c>
      <c r="B76">
        <v>6</v>
      </c>
      <c r="C76">
        <v>75</v>
      </c>
      <c r="D76" s="9">
        <v>45689</v>
      </c>
      <c r="E76" s="9"/>
      <c r="F76" t="s">
        <v>69</v>
      </c>
      <c r="G76" t="s">
        <v>70</v>
      </c>
      <c r="H76">
        <v>2324129500000</v>
      </c>
      <c r="I76" t="s">
        <v>148</v>
      </c>
      <c r="J76" s="1">
        <v>168835</v>
      </c>
      <c r="K76">
        <v>6.6666666666666599</v>
      </c>
      <c r="L76" s="1">
        <v>25325.25</v>
      </c>
      <c r="M76" s="1"/>
      <c r="N76" s="1"/>
      <c r="O76" s="1"/>
      <c r="P76">
        <v>331976005</v>
      </c>
    </row>
    <row r="77" spans="1:16" x14ac:dyDescent="0.35">
      <c r="A77">
        <v>2025</v>
      </c>
      <c r="B77">
        <v>6</v>
      </c>
      <c r="C77">
        <v>76</v>
      </c>
      <c r="D77" s="9">
        <v>45658</v>
      </c>
      <c r="E77" s="9"/>
      <c r="F77" t="s">
        <v>69</v>
      </c>
      <c r="G77" t="s">
        <v>70</v>
      </c>
      <c r="H77">
        <v>2324410300000</v>
      </c>
      <c r="I77" t="s">
        <v>149</v>
      </c>
      <c r="J77" s="1">
        <v>237611</v>
      </c>
      <c r="K77">
        <v>6.6666666666666599</v>
      </c>
      <c r="L77" s="1">
        <v>35641.65</v>
      </c>
      <c r="M77" s="1"/>
      <c r="N77" s="1"/>
      <c r="O77" s="1"/>
      <c r="P77">
        <v>330488952</v>
      </c>
    </row>
    <row r="78" spans="1:16" x14ac:dyDescent="0.35">
      <c r="A78">
        <v>2025</v>
      </c>
      <c r="B78">
        <v>6</v>
      </c>
      <c r="C78">
        <v>77</v>
      </c>
      <c r="D78" s="9">
        <v>45658</v>
      </c>
      <c r="E78" s="9"/>
      <c r="F78" t="s">
        <v>69</v>
      </c>
      <c r="G78" t="s">
        <v>70</v>
      </c>
      <c r="H78">
        <v>2324693100000</v>
      </c>
      <c r="I78" t="s">
        <v>150</v>
      </c>
      <c r="J78" s="1">
        <v>363269</v>
      </c>
      <c r="K78">
        <v>6.6666666666666599</v>
      </c>
      <c r="L78" s="1">
        <v>54490.35</v>
      </c>
      <c r="M78" s="1"/>
      <c r="N78" s="1"/>
      <c r="O78" s="1"/>
      <c r="P78">
        <v>330489778</v>
      </c>
    </row>
    <row r="79" spans="1:16" x14ac:dyDescent="0.35">
      <c r="A79">
        <v>2025</v>
      </c>
      <c r="B79">
        <v>6</v>
      </c>
      <c r="C79">
        <v>78</v>
      </c>
      <c r="D79" s="9">
        <v>45658</v>
      </c>
      <c r="E79" s="9"/>
      <c r="F79" t="s">
        <v>69</v>
      </c>
      <c r="G79" t="s">
        <v>70</v>
      </c>
      <c r="H79">
        <v>2325013300000</v>
      </c>
      <c r="I79" t="s">
        <v>151</v>
      </c>
      <c r="J79" s="1">
        <v>154353</v>
      </c>
      <c r="K79">
        <v>6.6666666666666599</v>
      </c>
      <c r="L79" s="1">
        <v>23152.95</v>
      </c>
      <c r="M79" s="1"/>
      <c r="N79" s="1"/>
      <c r="O79" s="1"/>
      <c r="P79">
        <v>330490735</v>
      </c>
    </row>
    <row r="80" spans="1:16" x14ac:dyDescent="0.35">
      <c r="A80">
        <v>2025</v>
      </c>
      <c r="B80">
        <v>6</v>
      </c>
      <c r="C80">
        <v>79</v>
      </c>
      <c r="D80" s="9">
        <v>45658</v>
      </c>
      <c r="E80" s="9"/>
      <c r="F80" t="s">
        <v>69</v>
      </c>
      <c r="G80" t="s">
        <v>70</v>
      </c>
      <c r="H80">
        <v>2325033200000</v>
      </c>
      <c r="I80" t="s">
        <v>152</v>
      </c>
      <c r="J80" s="1">
        <v>252252</v>
      </c>
      <c r="K80">
        <v>6.6666666666666599</v>
      </c>
      <c r="L80" s="1">
        <v>37837.800000000003</v>
      </c>
      <c r="M80" s="1"/>
      <c r="N80" s="1"/>
      <c r="O80" s="1"/>
      <c r="P80">
        <v>330490826</v>
      </c>
    </row>
    <row r="81" spans="1:16" x14ac:dyDescent="0.35">
      <c r="A81">
        <v>2025</v>
      </c>
      <c r="B81">
        <v>6</v>
      </c>
      <c r="C81">
        <v>80</v>
      </c>
      <c r="D81" s="9">
        <v>45658</v>
      </c>
      <c r="E81" s="9"/>
      <c r="F81" t="s">
        <v>69</v>
      </c>
      <c r="G81" t="s">
        <v>70</v>
      </c>
      <c r="H81">
        <v>2325134000000</v>
      </c>
      <c r="I81" t="s">
        <v>153</v>
      </c>
      <c r="J81" s="1">
        <v>178928</v>
      </c>
      <c r="K81">
        <v>6.6666666666666599</v>
      </c>
      <c r="L81" s="1">
        <v>26839.200000000001</v>
      </c>
      <c r="M81" s="1"/>
      <c r="N81" s="1"/>
      <c r="O81" s="1"/>
      <c r="P81">
        <v>330491105</v>
      </c>
    </row>
    <row r="82" spans="1:16" x14ac:dyDescent="0.35">
      <c r="A82">
        <v>2025</v>
      </c>
      <c r="B82">
        <v>6</v>
      </c>
      <c r="C82">
        <v>81</v>
      </c>
      <c r="D82" s="9">
        <v>45658</v>
      </c>
      <c r="E82" s="9"/>
      <c r="F82" t="s">
        <v>69</v>
      </c>
      <c r="G82" t="s">
        <v>70</v>
      </c>
      <c r="H82">
        <v>2325803900000</v>
      </c>
      <c r="I82" t="s">
        <v>154</v>
      </c>
      <c r="J82" s="1">
        <v>311262</v>
      </c>
      <c r="K82">
        <v>6.6666666666666599</v>
      </c>
      <c r="L82" s="1">
        <v>46689.3</v>
      </c>
      <c r="M82" s="1"/>
      <c r="N82" s="1"/>
      <c r="O82" s="1"/>
      <c r="P82">
        <v>330493069</v>
      </c>
    </row>
    <row r="83" spans="1:16" x14ac:dyDescent="0.35">
      <c r="A83">
        <v>2025</v>
      </c>
      <c r="B83">
        <v>6</v>
      </c>
      <c r="C83">
        <v>82</v>
      </c>
      <c r="D83" s="9">
        <v>45658</v>
      </c>
      <c r="E83" s="9"/>
      <c r="F83" t="s">
        <v>69</v>
      </c>
      <c r="G83" t="s">
        <v>70</v>
      </c>
      <c r="H83">
        <v>2326121200000</v>
      </c>
      <c r="I83" t="s">
        <v>155</v>
      </c>
      <c r="J83" s="1">
        <v>275856</v>
      </c>
      <c r="K83">
        <v>6.6666666666666599</v>
      </c>
      <c r="L83" s="1">
        <v>41378.400000000001</v>
      </c>
      <c r="M83" s="1"/>
      <c r="N83" s="1"/>
      <c r="O83" s="1"/>
      <c r="P83">
        <v>330493986</v>
      </c>
    </row>
    <row r="84" spans="1:16" x14ac:dyDescent="0.35">
      <c r="A84">
        <v>2025</v>
      </c>
      <c r="B84">
        <v>6</v>
      </c>
      <c r="C84">
        <v>83</v>
      </c>
      <c r="D84" s="9">
        <v>45658</v>
      </c>
      <c r="E84" s="9"/>
      <c r="F84" t="s">
        <v>69</v>
      </c>
      <c r="G84" t="s">
        <v>70</v>
      </c>
      <c r="H84">
        <v>2326360000000</v>
      </c>
      <c r="I84" t="s">
        <v>156</v>
      </c>
      <c r="J84" s="1">
        <v>269752</v>
      </c>
      <c r="K84">
        <v>6.6666666666666599</v>
      </c>
      <c r="L84" s="1">
        <v>40462.800000000003</v>
      </c>
      <c r="M84" s="1"/>
      <c r="N84" s="1"/>
      <c r="O84" s="1"/>
      <c r="P84">
        <v>330494653</v>
      </c>
    </row>
    <row r="85" spans="1:16" x14ac:dyDescent="0.35">
      <c r="A85">
        <v>2025</v>
      </c>
      <c r="B85">
        <v>6</v>
      </c>
      <c r="C85">
        <v>84</v>
      </c>
      <c r="D85" s="9">
        <v>45658</v>
      </c>
      <c r="E85" s="9"/>
      <c r="F85" t="s">
        <v>69</v>
      </c>
      <c r="G85" t="s">
        <v>70</v>
      </c>
      <c r="H85">
        <v>2326861700000</v>
      </c>
      <c r="I85" t="s">
        <v>157</v>
      </c>
      <c r="J85" s="1">
        <v>262755</v>
      </c>
      <c r="K85">
        <v>6.6666666666666599</v>
      </c>
      <c r="L85" s="1">
        <v>39413.25</v>
      </c>
      <c r="M85" s="1"/>
      <c r="N85" s="1"/>
      <c r="O85" s="1"/>
      <c r="P85">
        <v>330496443</v>
      </c>
    </row>
    <row r="86" spans="1:16" x14ac:dyDescent="0.35">
      <c r="A86">
        <v>2025</v>
      </c>
      <c r="B86">
        <v>6</v>
      </c>
      <c r="C86">
        <v>85</v>
      </c>
      <c r="D86" s="9">
        <v>45658</v>
      </c>
      <c r="E86" s="9"/>
      <c r="F86" t="s">
        <v>69</v>
      </c>
      <c r="G86" t="s">
        <v>70</v>
      </c>
      <c r="H86">
        <v>2326872400000</v>
      </c>
      <c r="I86" t="s">
        <v>158</v>
      </c>
      <c r="J86" s="1">
        <v>233144</v>
      </c>
      <c r="K86">
        <v>6.6666666666666599</v>
      </c>
      <c r="L86" s="1">
        <v>34971.599999999999</v>
      </c>
      <c r="M86" s="1"/>
      <c r="N86" s="1"/>
      <c r="O86" s="1"/>
      <c r="P86">
        <v>330496476</v>
      </c>
    </row>
    <row r="87" spans="1:16" x14ac:dyDescent="0.35">
      <c r="A87">
        <v>2025</v>
      </c>
      <c r="B87">
        <v>6</v>
      </c>
      <c r="C87">
        <v>86</v>
      </c>
      <c r="D87" s="9">
        <v>45658</v>
      </c>
      <c r="E87" s="9"/>
      <c r="F87" t="s">
        <v>69</v>
      </c>
      <c r="G87" t="s">
        <v>70</v>
      </c>
      <c r="H87">
        <v>2327508500000</v>
      </c>
      <c r="I87" t="s">
        <v>159</v>
      </c>
      <c r="J87" s="1">
        <v>355154</v>
      </c>
      <c r="K87">
        <v>6.6666666666666599</v>
      </c>
      <c r="L87" s="1">
        <v>53273.1</v>
      </c>
      <c r="M87" s="1"/>
      <c r="N87" s="1"/>
      <c r="O87" s="1"/>
      <c r="P87">
        <v>330497847</v>
      </c>
    </row>
    <row r="88" spans="1:16" x14ac:dyDescent="0.35">
      <c r="A88">
        <v>2025</v>
      </c>
      <c r="B88">
        <v>6</v>
      </c>
      <c r="C88">
        <v>87</v>
      </c>
      <c r="D88" s="9">
        <v>45658</v>
      </c>
      <c r="E88" s="9"/>
      <c r="F88" t="s">
        <v>69</v>
      </c>
      <c r="G88" t="s">
        <v>70</v>
      </c>
      <c r="H88">
        <v>2327551400000</v>
      </c>
      <c r="I88" t="s">
        <v>160</v>
      </c>
      <c r="J88" s="1">
        <v>210412</v>
      </c>
      <c r="K88">
        <v>6.6666666666666599</v>
      </c>
      <c r="L88" s="1">
        <v>31561.8</v>
      </c>
      <c r="M88" s="1"/>
      <c r="N88" s="1"/>
      <c r="O88" s="1"/>
      <c r="P88">
        <v>330497946</v>
      </c>
    </row>
    <row r="89" spans="1:16" x14ac:dyDescent="0.35">
      <c r="A89">
        <v>2025</v>
      </c>
      <c r="B89">
        <v>6</v>
      </c>
      <c r="C89">
        <v>88</v>
      </c>
      <c r="D89" s="9">
        <v>45658</v>
      </c>
      <c r="E89" s="9"/>
      <c r="F89" t="s">
        <v>69</v>
      </c>
      <c r="G89" t="s">
        <v>70</v>
      </c>
      <c r="H89">
        <v>2328489000000</v>
      </c>
      <c r="I89" t="s">
        <v>161</v>
      </c>
      <c r="J89" s="1">
        <v>74109</v>
      </c>
      <c r="K89">
        <v>6.6666666666666599</v>
      </c>
      <c r="L89" s="1">
        <v>11116.35</v>
      </c>
      <c r="M89" s="1"/>
      <c r="N89" s="1"/>
      <c r="O89" s="1"/>
      <c r="P89">
        <v>330500889</v>
      </c>
    </row>
    <row r="90" spans="1:16" x14ac:dyDescent="0.35">
      <c r="A90">
        <v>2025</v>
      </c>
      <c r="B90">
        <v>6</v>
      </c>
      <c r="C90">
        <v>89</v>
      </c>
      <c r="D90" s="9">
        <v>45658</v>
      </c>
      <c r="E90" s="9"/>
      <c r="F90" t="s">
        <v>69</v>
      </c>
      <c r="G90" t="s">
        <v>70</v>
      </c>
      <c r="H90">
        <v>2330035500000</v>
      </c>
      <c r="I90" t="s">
        <v>162</v>
      </c>
      <c r="J90" s="1">
        <v>181535</v>
      </c>
      <c r="K90">
        <v>6.6666666666666599</v>
      </c>
      <c r="L90" s="1">
        <v>27230.25</v>
      </c>
      <c r="M90" s="1"/>
      <c r="N90" s="1"/>
      <c r="O90" s="1"/>
      <c r="P90">
        <v>330505540</v>
      </c>
    </row>
    <row r="91" spans="1:16" x14ac:dyDescent="0.35">
      <c r="A91">
        <v>2025</v>
      </c>
      <c r="B91">
        <v>6</v>
      </c>
      <c r="C91">
        <v>90</v>
      </c>
      <c r="D91" s="9">
        <v>45658</v>
      </c>
      <c r="E91" s="9"/>
      <c r="F91" t="s">
        <v>69</v>
      </c>
      <c r="G91" t="s">
        <v>70</v>
      </c>
      <c r="H91">
        <v>2330219600000</v>
      </c>
      <c r="I91" t="s">
        <v>163</v>
      </c>
      <c r="J91" s="1">
        <v>162712</v>
      </c>
      <c r="K91">
        <v>6.6666666666666599</v>
      </c>
      <c r="L91" s="1">
        <v>24406.799999999999</v>
      </c>
      <c r="M91" s="1"/>
      <c r="N91" s="1"/>
      <c r="O91" s="1"/>
      <c r="P91">
        <v>330505979</v>
      </c>
    </row>
    <row r="92" spans="1:16" x14ac:dyDescent="0.35">
      <c r="A92">
        <v>2025</v>
      </c>
      <c r="B92">
        <v>6</v>
      </c>
      <c r="C92">
        <v>91</v>
      </c>
      <c r="D92" s="9">
        <v>45658</v>
      </c>
      <c r="E92" s="9"/>
      <c r="F92" t="s">
        <v>69</v>
      </c>
      <c r="G92" t="s">
        <v>70</v>
      </c>
      <c r="H92">
        <v>2330297800000</v>
      </c>
      <c r="I92" t="s">
        <v>164</v>
      </c>
      <c r="J92" s="1">
        <v>145573</v>
      </c>
      <c r="K92">
        <v>6.6666666666666599</v>
      </c>
      <c r="L92" s="1">
        <v>21835.95</v>
      </c>
      <c r="M92" s="1"/>
      <c r="N92" s="1"/>
      <c r="O92" s="1"/>
      <c r="P92">
        <v>330506167</v>
      </c>
    </row>
    <row r="93" spans="1:16" x14ac:dyDescent="0.35">
      <c r="A93">
        <v>2025</v>
      </c>
      <c r="B93">
        <v>6</v>
      </c>
      <c r="C93">
        <v>92</v>
      </c>
      <c r="D93" s="9">
        <v>45689</v>
      </c>
      <c r="E93" s="9"/>
      <c r="F93" t="s">
        <v>69</v>
      </c>
      <c r="G93" t="s">
        <v>127</v>
      </c>
      <c r="H93">
        <v>2330726000000</v>
      </c>
      <c r="I93" t="s">
        <v>165</v>
      </c>
      <c r="J93" s="1">
        <v>383393</v>
      </c>
      <c r="K93">
        <v>6.6666666666666599</v>
      </c>
      <c r="L93" s="1">
        <v>57508.95</v>
      </c>
      <c r="M93" s="1"/>
      <c r="N93" s="1"/>
      <c r="O93" s="1"/>
      <c r="P93">
        <v>331995054</v>
      </c>
    </row>
    <row r="94" spans="1:16" x14ac:dyDescent="0.35">
      <c r="A94">
        <v>2025</v>
      </c>
      <c r="B94">
        <v>6</v>
      </c>
      <c r="C94">
        <v>93</v>
      </c>
      <c r="D94" s="9">
        <v>45689</v>
      </c>
      <c r="E94" s="9"/>
      <c r="F94" t="s">
        <v>69</v>
      </c>
      <c r="G94" t="s">
        <v>85</v>
      </c>
      <c r="H94">
        <v>2331163000000</v>
      </c>
      <c r="I94" t="s">
        <v>166</v>
      </c>
      <c r="J94" s="1">
        <v>154323</v>
      </c>
      <c r="K94">
        <v>6.6666666666666599</v>
      </c>
      <c r="L94" s="1">
        <v>23148.45</v>
      </c>
      <c r="M94" s="1"/>
      <c r="N94" s="1"/>
      <c r="O94" s="1"/>
      <c r="P94">
        <v>331996276</v>
      </c>
    </row>
    <row r="95" spans="1:16" x14ac:dyDescent="0.35">
      <c r="A95">
        <v>2025</v>
      </c>
      <c r="B95">
        <v>6</v>
      </c>
      <c r="C95">
        <v>94</v>
      </c>
      <c r="D95" s="9">
        <v>45658</v>
      </c>
      <c r="E95" s="9"/>
      <c r="F95" t="s">
        <v>69</v>
      </c>
      <c r="G95" t="s">
        <v>70</v>
      </c>
      <c r="H95">
        <v>2331974600000</v>
      </c>
      <c r="I95" t="s">
        <v>167</v>
      </c>
      <c r="J95" s="1">
        <v>92756</v>
      </c>
      <c r="K95">
        <v>6.6666666666666599</v>
      </c>
      <c r="L95" s="1">
        <v>13913.4</v>
      </c>
      <c r="M95" s="1"/>
      <c r="N95" s="1"/>
      <c r="O95" s="1"/>
      <c r="P95">
        <v>330510953</v>
      </c>
    </row>
    <row r="96" spans="1:16" x14ac:dyDescent="0.35">
      <c r="A96">
        <v>2025</v>
      </c>
      <c r="B96">
        <v>6</v>
      </c>
      <c r="C96">
        <v>95</v>
      </c>
      <c r="D96" s="9">
        <v>45689</v>
      </c>
      <c r="E96" s="9"/>
      <c r="F96" t="s">
        <v>69</v>
      </c>
      <c r="G96" t="s">
        <v>70</v>
      </c>
      <c r="H96">
        <v>2332029400000</v>
      </c>
      <c r="I96" t="s">
        <v>168</v>
      </c>
      <c r="J96" s="1">
        <v>396596</v>
      </c>
      <c r="K96">
        <v>6.6666666666666599</v>
      </c>
      <c r="L96" s="1">
        <v>59489.4</v>
      </c>
      <c r="M96" s="1"/>
      <c r="N96" s="1"/>
      <c r="O96" s="1"/>
      <c r="P96">
        <v>331999072</v>
      </c>
    </row>
    <row r="97" spans="1:16" x14ac:dyDescent="0.35">
      <c r="A97">
        <v>2025</v>
      </c>
      <c r="B97">
        <v>6</v>
      </c>
      <c r="C97">
        <v>96</v>
      </c>
      <c r="D97" s="9">
        <v>45658</v>
      </c>
      <c r="E97" s="9"/>
      <c r="F97" t="s">
        <v>69</v>
      </c>
      <c r="G97" t="s">
        <v>70</v>
      </c>
      <c r="H97">
        <v>2332337300000</v>
      </c>
      <c r="I97" t="s">
        <v>169</v>
      </c>
      <c r="J97" s="1">
        <v>354972</v>
      </c>
      <c r="K97">
        <v>6.6666666666666599</v>
      </c>
      <c r="L97" s="1">
        <v>53245.8</v>
      </c>
      <c r="M97" s="1"/>
      <c r="N97" s="1"/>
      <c r="O97" s="1"/>
      <c r="P97">
        <v>330511894</v>
      </c>
    </row>
    <row r="98" spans="1:16" x14ac:dyDescent="0.35">
      <c r="A98">
        <v>2025</v>
      </c>
      <c r="B98">
        <v>6</v>
      </c>
      <c r="C98">
        <v>97</v>
      </c>
      <c r="D98" s="9">
        <v>45689</v>
      </c>
      <c r="E98" s="9"/>
      <c r="F98" t="s">
        <v>69</v>
      </c>
      <c r="G98" t="s">
        <v>70</v>
      </c>
      <c r="H98">
        <v>2332391700000</v>
      </c>
      <c r="I98" t="s">
        <v>170</v>
      </c>
      <c r="J98" s="1">
        <v>260013</v>
      </c>
      <c r="K98">
        <v>6.6666666666666599</v>
      </c>
      <c r="L98" s="1">
        <v>39001.949999999997</v>
      </c>
      <c r="M98" s="1"/>
      <c r="N98" s="1"/>
      <c r="O98" s="1"/>
      <c r="P98">
        <v>331999890</v>
      </c>
    </row>
    <row r="99" spans="1:16" x14ac:dyDescent="0.35">
      <c r="A99">
        <v>2025</v>
      </c>
      <c r="B99">
        <v>6</v>
      </c>
      <c r="C99">
        <v>98</v>
      </c>
      <c r="D99" s="9">
        <v>45717</v>
      </c>
      <c r="E99" s="9"/>
      <c r="F99" t="s">
        <v>69</v>
      </c>
      <c r="G99" t="s">
        <v>70</v>
      </c>
      <c r="H99">
        <v>2332657000000</v>
      </c>
      <c r="I99" t="s">
        <v>171</v>
      </c>
      <c r="J99" s="1">
        <v>341762</v>
      </c>
      <c r="K99">
        <v>6.6666666666666599</v>
      </c>
      <c r="L99" s="1">
        <v>51264.3</v>
      </c>
      <c r="M99" s="1"/>
      <c r="N99" s="1"/>
      <c r="O99" s="1"/>
      <c r="P99">
        <v>333807976</v>
      </c>
    </row>
    <row r="100" spans="1:16" x14ac:dyDescent="0.35">
      <c r="A100">
        <v>2025</v>
      </c>
      <c r="B100">
        <v>6</v>
      </c>
      <c r="C100">
        <v>99</v>
      </c>
      <c r="D100" s="9">
        <v>45658</v>
      </c>
      <c r="E100" s="9"/>
      <c r="F100" t="s">
        <v>69</v>
      </c>
      <c r="G100" t="s">
        <v>70</v>
      </c>
      <c r="H100">
        <v>2332678900000</v>
      </c>
      <c r="I100" t="s">
        <v>172</v>
      </c>
      <c r="J100" s="1">
        <v>440150</v>
      </c>
      <c r="K100">
        <v>6.6666666666666599</v>
      </c>
      <c r="L100" s="1">
        <v>66022.5</v>
      </c>
      <c r="M100" s="1"/>
      <c r="N100" s="1"/>
      <c r="O100" s="1"/>
      <c r="P100">
        <v>330513056</v>
      </c>
    </row>
    <row r="101" spans="1:16" x14ac:dyDescent="0.35">
      <c r="A101">
        <v>2025</v>
      </c>
      <c r="B101">
        <v>6</v>
      </c>
      <c r="C101">
        <v>100</v>
      </c>
      <c r="D101" s="9">
        <v>45658</v>
      </c>
      <c r="E101" s="9"/>
      <c r="F101" t="s">
        <v>69</v>
      </c>
      <c r="G101" t="s">
        <v>85</v>
      </c>
      <c r="H101">
        <v>2332831700000</v>
      </c>
      <c r="I101" t="s">
        <v>173</v>
      </c>
      <c r="J101" s="1">
        <v>111636</v>
      </c>
      <c r="K101">
        <v>6.6666666666666599</v>
      </c>
      <c r="L101" s="1">
        <v>16745.400000000001</v>
      </c>
      <c r="M101" s="1"/>
      <c r="N101" s="1"/>
      <c r="O101" s="1"/>
      <c r="P101">
        <v>330513494</v>
      </c>
    </row>
    <row r="102" spans="1:16" x14ac:dyDescent="0.35">
      <c r="A102">
        <v>2025</v>
      </c>
      <c r="B102">
        <v>6</v>
      </c>
      <c r="C102">
        <v>101</v>
      </c>
      <c r="D102" s="9">
        <v>45658</v>
      </c>
      <c r="E102" s="9"/>
      <c r="F102" t="s">
        <v>69</v>
      </c>
      <c r="G102" t="s">
        <v>70</v>
      </c>
      <c r="H102">
        <v>2332878000000</v>
      </c>
      <c r="I102" t="s">
        <v>174</v>
      </c>
      <c r="J102" s="1">
        <v>210837</v>
      </c>
      <c r="K102">
        <v>6.6666666666666599</v>
      </c>
      <c r="L102" s="1">
        <v>31625.55</v>
      </c>
      <c r="M102" s="1"/>
      <c r="N102" s="1"/>
      <c r="O102" s="1"/>
      <c r="P102">
        <v>330513650</v>
      </c>
    </row>
    <row r="103" spans="1:16" x14ac:dyDescent="0.35">
      <c r="A103">
        <v>2025</v>
      </c>
      <c r="B103">
        <v>6</v>
      </c>
      <c r="C103">
        <v>102</v>
      </c>
      <c r="D103" s="9">
        <v>45658</v>
      </c>
      <c r="E103" s="9"/>
      <c r="F103" t="s">
        <v>69</v>
      </c>
      <c r="G103" t="s">
        <v>70</v>
      </c>
      <c r="H103">
        <v>2332899800000</v>
      </c>
      <c r="I103" t="s">
        <v>175</v>
      </c>
      <c r="J103" s="1">
        <v>208720</v>
      </c>
      <c r="K103">
        <v>6.6666666666666599</v>
      </c>
      <c r="L103" s="1">
        <v>31308</v>
      </c>
      <c r="M103" s="1"/>
      <c r="N103" s="1"/>
      <c r="O103" s="1"/>
      <c r="P103">
        <v>330513700</v>
      </c>
    </row>
    <row r="104" spans="1:16" x14ac:dyDescent="0.35">
      <c r="A104">
        <v>2025</v>
      </c>
      <c r="B104">
        <v>6</v>
      </c>
      <c r="C104">
        <v>103</v>
      </c>
      <c r="D104" s="9">
        <v>45658</v>
      </c>
      <c r="E104" s="9"/>
      <c r="F104" t="s">
        <v>69</v>
      </c>
      <c r="G104" t="s">
        <v>70</v>
      </c>
      <c r="H104">
        <v>2332909500000</v>
      </c>
      <c r="I104" t="s">
        <v>176</v>
      </c>
      <c r="J104" s="1">
        <v>416844</v>
      </c>
      <c r="K104">
        <v>6.6666666666666599</v>
      </c>
      <c r="L104" s="1">
        <v>62526.6</v>
      </c>
      <c r="M104" s="1"/>
      <c r="N104" s="1"/>
      <c r="O104" s="1"/>
      <c r="P104">
        <v>330513742</v>
      </c>
    </row>
    <row r="105" spans="1:16" x14ac:dyDescent="0.35">
      <c r="A105">
        <v>2025</v>
      </c>
      <c r="B105">
        <v>6</v>
      </c>
      <c r="C105">
        <v>104</v>
      </c>
      <c r="D105" s="9">
        <v>45658</v>
      </c>
      <c r="E105" s="9"/>
      <c r="F105" t="s">
        <v>69</v>
      </c>
      <c r="G105" t="s">
        <v>70</v>
      </c>
      <c r="H105">
        <v>2332931700000</v>
      </c>
      <c r="I105" t="s">
        <v>177</v>
      </c>
      <c r="J105" s="1">
        <v>186899</v>
      </c>
      <c r="K105">
        <v>6.6666666666666599</v>
      </c>
      <c r="L105" s="1">
        <v>28034.85</v>
      </c>
      <c r="M105" s="1"/>
      <c r="N105" s="1"/>
      <c r="O105" s="1"/>
      <c r="P105">
        <v>330513791</v>
      </c>
    </row>
    <row r="106" spans="1:16" x14ac:dyDescent="0.35">
      <c r="A106">
        <v>2025</v>
      </c>
      <c r="B106">
        <v>6</v>
      </c>
      <c r="C106">
        <v>105</v>
      </c>
      <c r="D106" s="9">
        <v>45658</v>
      </c>
      <c r="E106" s="9"/>
      <c r="F106" t="s">
        <v>69</v>
      </c>
      <c r="G106" t="s">
        <v>127</v>
      </c>
      <c r="H106">
        <v>2333515600000</v>
      </c>
      <c r="I106" t="s">
        <v>178</v>
      </c>
      <c r="J106" s="1">
        <v>860337</v>
      </c>
      <c r="K106">
        <v>6.6666666666666599</v>
      </c>
      <c r="L106" s="1">
        <v>129050.55</v>
      </c>
      <c r="M106" s="1"/>
      <c r="N106" s="1"/>
      <c r="O106" s="1"/>
      <c r="P106">
        <v>330515986</v>
      </c>
    </row>
    <row r="107" spans="1:16" x14ac:dyDescent="0.35">
      <c r="A107">
        <v>2025</v>
      </c>
      <c r="B107">
        <v>6</v>
      </c>
      <c r="C107">
        <v>106</v>
      </c>
      <c r="D107" s="9">
        <v>45658</v>
      </c>
      <c r="E107" s="9"/>
      <c r="F107" t="s">
        <v>69</v>
      </c>
      <c r="G107" t="s">
        <v>70</v>
      </c>
      <c r="H107">
        <v>2333526600000</v>
      </c>
      <c r="I107" t="s">
        <v>179</v>
      </c>
      <c r="J107" s="1">
        <v>292895</v>
      </c>
      <c r="K107">
        <v>6.6666666666666599</v>
      </c>
      <c r="L107" s="1">
        <v>43934.25</v>
      </c>
      <c r="M107" s="1"/>
      <c r="N107" s="1"/>
      <c r="O107" s="1"/>
      <c r="P107">
        <v>330516042</v>
      </c>
    </row>
    <row r="108" spans="1:16" x14ac:dyDescent="0.35">
      <c r="A108">
        <v>2025</v>
      </c>
      <c r="B108">
        <v>6</v>
      </c>
      <c r="C108">
        <v>107</v>
      </c>
      <c r="D108" s="9">
        <v>45658</v>
      </c>
      <c r="E108" s="9"/>
      <c r="F108" t="s">
        <v>69</v>
      </c>
      <c r="G108" t="s">
        <v>70</v>
      </c>
      <c r="H108">
        <v>2333550500000</v>
      </c>
      <c r="I108" t="s">
        <v>180</v>
      </c>
      <c r="J108" s="1">
        <v>415827</v>
      </c>
      <c r="K108">
        <v>6.6666666666666599</v>
      </c>
      <c r="L108" s="1">
        <v>62374.05</v>
      </c>
      <c r="M108" s="1"/>
      <c r="N108" s="1"/>
      <c r="O108" s="1"/>
      <c r="P108">
        <v>330516133</v>
      </c>
    </row>
    <row r="109" spans="1:16" x14ac:dyDescent="0.35">
      <c r="A109">
        <v>2025</v>
      </c>
      <c r="B109">
        <v>6</v>
      </c>
      <c r="C109">
        <v>108</v>
      </c>
      <c r="D109" s="9">
        <v>45658</v>
      </c>
      <c r="E109" s="9"/>
      <c r="F109" t="s">
        <v>69</v>
      </c>
      <c r="G109" t="s">
        <v>105</v>
      </c>
      <c r="H109">
        <v>2333664800000</v>
      </c>
      <c r="I109" t="s">
        <v>181</v>
      </c>
      <c r="J109" s="1">
        <v>232858</v>
      </c>
      <c r="K109">
        <v>5</v>
      </c>
      <c r="L109" s="1">
        <v>46571.6</v>
      </c>
      <c r="M109" s="1"/>
      <c r="N109" s="1"/>
      <c r="O109" s="1"/>
      <c r="P109">
        <v>329839017</v>
      </c>
    </row>
    <row r="110" spans="1:16" x14ac:dyDescent="0.35">
      <c r="A110">
        <v>2025</v>
      </c>
      <c r="B110">
        <v>6</v>
      </c>
      <c r="C110">
        <v>109</v>
      </c>
      <c r="D110" s="9">
        <v>45689</v>
      </c>
      <c r="E110" s="9"/>
      <c r="F110" t="s">
        <v>69</v>
      </c>
      <c r="G110" t="s">
        <v>70</v>
      </c>
      <c r="H110">
        <v>2334146100000</v>
      </c>
      <c r="I110" t="s">
        <v>182</v>
      </c>
      <c r="J110" s="1">
        <v>257562</v>
      </c>
      <c r="K110">
        <v>6.6666666666666599</v>
      </c>
      <c r="L110" s="1">
        <v>38634.300000000003</v>
      </c>
      <c r="M110" s="1"/>
      <c r="N110" s="1"/>
      <c r="O110" s="1"/>
      <c r="P110">
        <v>332005168</v>
      </c>
    </row>
    <row r="111" spans="1:16" x14ac:dyDescent="0.35">
      <c r="A111">
        <v>2025</v>
      </c>
      <c r="B111">
        <v>6</v>
      </c>
      <c r="C111">
        <v>110</v>
      </c>
      <c r="D111" s="9">
        <v>45658</v>
      </c>
      <c r="E111" s="9"/>
      <c r="F111" t="s">
        <v>69</v>
      </c>
      <c r="G111" t="s">
        <v>70</v>
      </c>
      <c r="H111">
        <v>2334356400000</v>
      </c>
      <c r="I111" t="s">
        <v>183</v>
      </c>
      <c r="J111" s="1">
        <v>152216</v>
      </c>
      <c r="K111">
        <v>6.6666666666666599</v>
      </c>
      <c r="L111" s="1">
        <v>22832.400000000001</v>
      </c>
      <c r="M111" s="1"/>
      <c r="N111" s="1"/>
      <c r="O111" s="1"/>
      <c r="P111">
        <v>330519152</v>
      </c>
    </row>
    <row r="112" spans="1:16" x14ac:dyDescent="0.35">
      <c r="A112">
        <v>2025</v>
      </c>
      <c r="B112">
        <v>6</v>
      </c>
      <c r="C112">
        <v>111</v>
      </c>
      <c r="D112" s="9">
        <v>45658</v>
      </c>
      <c r="E112" s="9"/>
      <c r="F112" t="s">
        <v>69</v>
      </c>
      <c r="G112" t="s">
        <v>70</v>
      </c>
      <c r="H112">
        <v>2334406600000</v>
      </c>
      <c r="I112" t="s">
        <v>184</v>
      </c>
      <c r="J112" s="1">
        <v>617650</v>
      </c>
      <c r="K112">
        <v>6.6666666666666599</v>
      </c>
      <c r="L112" s="1">
        <v>92647.5</v>
      </c>
      <c r="M112" s="1"/>
      <c r="N112" s="1"/>
      <c r="O112" s="1"/>
      <c r="P112">
        <v>330519327</v>
      </c>
    </row>
    <row r="113" spans="1:16" x14ac:dyDescent="0.35">
      <c r="A113">
        <v>2025</v>
      </c>
      <c r="B113">
        <v>6</v>
      </c>
      <c r="C113">
        <v>112</v>
      </c>
      <c r="D113" s="9">
        <v>45689</v>
      </c>
      <c r="E113" s="9"/>
      <c r="F113" t="s">
        <v>69</v>
      </c>
      <c r="G113" t="s">
        <v>70</v>
      </c>
      <c r="H113">
        <v>2334550700000</v>
      </c>
      <c r="I113" t="s">
        <v>76</v>
      </c>
      <c r="J113" s="1">
        <v>79811</v>
      </c>
      <c r="K113">
        <v>6.6666666666666599</v>
      </c>
      <c r="L113" s="1">
        <v>11971.65</v>
      </c>
      <c r="M113" s="1"/>
      <c r="N113" s="1"/>
      <c r="O113" s="1"/>
      <c r="P113">
        <v>332006588</v>
      </c>
    </row>
    <row r="114" spans="1:16" x14ac:dyDescent="0.35">
      <c r="A114">
        <v>2025</v>
      </c>
      <c r="B114">
        <v>6</v>
      </c>
      <c r="C114">
        <v>113</v>
      </c>
      <c r="D114" s="9">
        <v>45689</v>
      </c>
      <c r="E114" s="9"/>
      <c r="F114" t="s">
        <v>69</v>
      </c>
      <c r="G114" t="s">
        <v>70</v>
      </c>
      <c r="H114">
        <v>2335197900000</v>
      </c>
      <c r="I114" t="s">
        <v>185</v>
      </c>
      <c r="J114" s="1">
        <v>306479</v>
      </c>
      <c r="K114">
        <v>6.6666666666666599</v>
      </c>
      <c r="L114" s="1">
        <v>45971.85</v>
      </c>
      <c r="M114" s="1"/>
      <c r="N114" s="1"/>
      <c r="O114" s="1"/>
      <c r="P114">
        <v>332008691</v>
      </c>
    </row>
    <row r="115" spans="1:16" x14ac:dyDescent="0.35">
      <c r="A115">
        <v>2025</v>
      </c>
      <c r="B115">
        <v>6</v>
      </c>
      <c r="C115">
        <v>114</v>
      </c>
      <c r="D115" s="9">
        <v>45658</v>
      </c>
      <c r="E115" s="9"/>
      <c r="F115" t="s">
        <v>69</v>
      </c>
      <c r="G115" t="s">
        <v>70</v>
      </c>
      <c r="H115">
        <v>2336249400000</v>
      </c>
      <c r="I115" t="s">
        <v>186</v>
      </c>
      <c r="J115" s="1">
        <v>5671907</v>
      </c>
      <c r="K115">
        <v>6.6666666666666599</v>
      </c>
      <c r="L115" s="1">
        <v>850786.05</v>
      </c>
      <c r="M115" s="1"/>
      <c r="N115" s="1"/>
      <c r="O115" s="1"/>
      <c r="P115">
        <v>330286745</v>
      </c>
    </row>
    <row r="116" spans="1:16" x14ac:dyDescent="0.35">
      <c r="A116">
        <v>2025</v>
      </c>
      <c r="B116">
        <v>6</v>
      </c>
      <c r="C116">
        <v>115</v>
      </c>
      <c r="D116" s="9">
        <v>45689</v>
      </c>
      <c r="E116" s="9"/>
      <c r="F116" t="s">
        <v>69</v>
      </c>
      <c r="G116" t="s">
        <v>70</v>
      </c>
      <c r="H116">
        <v>2336610100000</v>
      </c>
      <c r="I116" t="s">
        <v>187</v>
      </c>
      <c r="J116" s="1">
        <v>169943</v>
      </c>
      <c r="K116">
        <v>6.6666666666666599</v>
      </c>
      <c r="L116" s="1">
        <v>25491.45</v>
      </c>
      <c r="M116" s="1"/>
      <c r="N116" s="1"/>
      <c r="O116" s="1"/>
      <c r="P116">
        <v>332012529</v>
      </c>
    </row>
    <row r="117" spans="1:16" x14ac:dyDescent="0.35">
      <c r="A117">
        <v>2025</v>
      </c>
      <c r="B117">
        <v>6</v>
      </c>
      <c r="C117">
        <v>116</v>
      </c>
      <c r="D117" s="9">
        <v>45658</v>
      </c>
      <c r="E117" s="9"/>
      <c r="F117" t="s">
        <v>69</v>
      </c>
      <c r="G117" t="s">
        <v>70</v>
      </c>
      <c r="H117">
        <v>2336686700000</v>
      </c>
      <c r="I117" t="s">
        <v>188</v>
      </c>
      <c r="J117" s="1">
        <v>272414</v>
      </c>
      <c r="K117">
        <v>6.6666666666666599</v>
      </c>
      <c r="L117" s="1">
        <v>40862.1</v>
      </c>
      <c r="M117" s="1"/>
      <c r="N117" s="1"/>
      <c r="O117" s="1"/>
      <c r="P117">
        <v>330526165</v>
      </c>
    </row>
    <row r="118" spans="1:16" x14ac:dyDescent="0.35">
      <c r="A118">
        <v>2025</v>
      </c>
      <c r="B118">
        <v>6</v>
      </c>
      <c r="C118">
        <v>117</v>
      </c>
      <c r="D118" s="9">
        <v>45658</v>
      </c>
      <c r="E118" s="9"/>
      <c r="F118" t="s">
        <v>69</v>
      </c>
      <c r="G118" t="s">
        <v>70</v>
      </c>
      <c r="H118">
        <v>2337269900000</v>
      </c>
      <c r="I118" t="s">
        <v>189</v>
      </c>
      <c r="J118" s="1">
        <v>403775</v>
      </c>
      <c r="K118">
        <v>6.6666666666666599</v>
      </c>
      <c r="L118" s="1">
        <v>60566.25</v>
      </c>
      <c r="M118" s="1"/>
      <c r="N118" s="1"/>
      <c r="O118" s="1"/>
      <c r="P118">
        <v>330308234</v>
      </c>
    </row>
    <row r="119" spans="1:16" x14ac:dyDescent="0.35">
      <c r="A119">
        <v>2025</v>
      </c>
      <c r="B119">
        <v>6</v>
      </c>
      <c r="C119">
        <v>118</v>
      </c>
      <c r="D119" s="9">
        <v>45689</v>
      </c>
      <c r="E119" s="9"/>
      <c r="F119" t="s">
        <v>69</v>
      </c>
      <c r="G119" t="s">
        <v>70</v>
      </c>
      <c r="H119">
        <v>2337292500000</v>
      </c>
      <c r="I119" t="s">
        <v>190</v>
      </c>
      <c r="J119" s="1">
        <v>461680</v>
      </c>
      <c r="K119">
        <v>6.6666666666666599</v>
      </c>
      <c r="L119" s="1">
        <v>69252</v>
      </c>
      <c r="M119" s="1"/>
      <c r="N119" s="1"/>
      <c r="O119" s="1"/>
      <c r="P119">
        <v>332014376</v>
      </c>
    </row>
    <row r="120" spans="1:16" x14ac:dyDescent="0.35">
      <c r="A120">
        <v>2025</v>
      </c>
      <c r="B120">
        <v>6</v>
      </c>
      <c r="C120">
        <v>119</v>
      </c>
      <c r="D120" s="9">
        <v>45717</v>
      </c>
      <c r="E120" s="9"/>
      <c r="F120" t="s">
        <v>69</v>
      </c>
      <c r="G120" t="s">
        <v>70</v>
      </c>
      <c r="H120">
        <v>2337292500000</v>
      </c>
      <c r="I120" t="s">
        <v>190</v>
      </c>
      <c r="J120" s="1">
        <v>461680</v>
      </c>
      <c r="K120">
        <v>6.6666666666666599</v>
      </c>
      <c r="L120" s="1">
        <v>69252</v>
      </c>
      <c r="M120" s="1"/>
      <c r="N120" s="1"/>
      <c r="O120" s="1"/>
      <c r="P120">
        <v>333821159</v>
      </c>
    </row>
    <row r="121" spans="1:16" x14ac:dyDescent="0.35">
      <c r="A121">
        <v>2025</v>
      </c>
      <c r="B121">
        <v>6</v>
      </c>
      <c r="C121">
        <v>120</v>
      </c>
      <c r="D121" s="9">
        <v>45658</v>
      </c>
      <c r="E121" s="9"/>
      <c r="F121" t="s">
        <v>69</v>
      </c>
      <c r="G121" t="s">
        <v>70</v>
      </c>
      <c r="H121">
        <v>2337441700000</v>
      </c>
      <c r="I121" t="s">
        <v>191</v>
      </c>
      <c r="J121" s="1">
        <v>1337491</v>
      </c>
      <c r="K121">
        <v>6.6666666666666599</v>
      </c>
      <c r="L121" s="1">
        <v>200623.65</v>
      </c>
      <c r="M121" s="1"/>
      <c r="N121" s="1"/>
      <c r="O121" s="1"/>
      <c r="P121">
        <v>330316492</v>
      </c>
    </row>
    <row r="122" spans="1:16" x14ac:dyDescent="0.35">
      <c r="A122">
        <v>2025</v>
      </c>
      <c r="B122">
        <v>6</v>
      </c>
      <c r="C122">
        <v>121</v>
      </c>
      <c r="D122" s="9">
        <v>45689</v>
      </c>
      <c r="E122" s="9"/>
      <c r="F122" t="s">
        <v>69</v>
      </c>
      <c r="G122" t="s">
        <v>70</v>
      </c>
      <c r="H122">
        <v>2337739400000</v>
      </c>
      <c r="I122" t="s">
        <v>192</v>
      </c>
      <c r="J122" s="1">
        <v>3565994</v>
      </c>
      <c r="K122">
        <v>6.6666666666666599</v>
      </c>
      <c r="L122" s="1">
        <v>534899.1</v>
      </c>
      <c r="M122" s="1"/>
      <c r="N122" s="1"/>
      <c r="O122" s="1"/>
      <c r="P122">
        <v>331375372</v>
      </c>
    </row>
    <row r="123" spans="1:16" x14ac:dyDescent="0.35">
      <c r="A123">
        <v>2025</v>
      </c>
      <c r="B123">
        <v>6</v>
      </c>
      <c r="C123">
        <v>122</v>
      </c>
      <c r="D123" s="9">
        <v>45658</v>
      </c>
      <c r="E123" s="9"/>
      <c r="F123" t="s">
        <v>69</v>
      </c>
      <c r="G123" t="s">
        <v>70</v>
      </c>
      <c r="H123">
        <v>2337880100000</v>
      </c>
      <c r="I123" t="s">
        <v>193</v>
      </c>
      <c r="J123" s="1">
        <v>2583186</v>
      </c>
      <c r="K123">
        <v>6.6666666666666599</v>
      </c>
      <c r="L123" s="1">
        <v>387477.9</v>
      </c>
      <c r="M123" s="1"/>
      <c r="N123" s="1"/>
      <c r="O123" s="1"/>
      <c r="P123">
        <v>330337514</v>
      </c>
    </row>
    <row r="124" spans="1:16" x14ac:dyDescent="0.35">
      <c r="A124">
        <v>2025</v>
      </c>
      <c r="B124">
        <v>6</v>
      </c>
      <c r="C124">
        <v>123</v>
      </c>
      <c r="D124" s="9">
        <v>45689</v>
      </c>
      <c r="E124" s="9"/>
      <c r="F124" t="s">
        <v>69</v>
      </c>
      <c r="G124" t="s">
        <v>70</v>
      </c>
      <c r="H124">
        <v>2337994500000</v>
      </c>
      <c r="I124" t="s">
        <v>194</v>
      </c>
      <c r="J124" s="1">
        <v>280681</v>
      </c>
      <c r="K124">
        <v>6.6666666666666599</v>
      </c>
      <c r="L124" s="1">
        <v>42102.15</v>
      </c>
      <c r="M124" s="1"/>
      <c r="N124" s="1"/>
      <c r="O124" s="1"/>
      <c r="P124">
        <v>332016611</v>
      </c>
    </row>
    <row r="125" spans="1:16" x14ac:dyDescent="0.35">
      <c r="A125">
        <v>2025</v>
      </c>
      <c r="B125">
        <v>6</v>
      </c>
      <c r="C125">
        <v>124</v>
      </c>
      <c r="D125" s="9">
        <v>45658</v>
      </c>
      <c r="E125" s="9"/>
      <c r="F125" t="s">
        <v>69</v>
      </c>
      <c r="G125" t="s">
        <v>70</v>
      </c>
      <c r="H125">
        <v>2338009600000</v>
      </c>
      <c r="I125" t="s">
        <v>195</v>
      </c>
      <c r="J125" s="1">
        <v>2787141</v>
      </c>
      <c r="K125">
        <v>6.6666666666666599</v>
      </c>
      <c r="L125" s="1">
        <v>418071.15</v>
      </c>
      <c r="M125" s="1"/>
      <c r="N125" s="1"/>
      <c r="O125" s="1"/>
      <c r="P125">
        <v>330343710</v>
      </c>
    </row>
    <row r="126" spans="1:16" x14ac:dyDescent="0.35">
      <c r="A126">
        <v>2025</v>
      </c>
      <c r="B126">
        <v>6</v>
      </c>
      <c r="C126">
        <v>125</v>
      </c>
      <c r="D126" s="9">
        <v>45658</v>
      </c>
      <c r="E126" s="9"/>
      <c r="F126" t="s">
        <v>69</v>
      </c>
      <c r="G126" t="s">
        <v>70</v>
      </c>
      <c r="H126">
        <v>2338079100000</v>
      </c>
      <c r="I126" t="s">
        <v>196</v>
      </c>
      <c r="J126" s="1">
        <v>133641</v>
      </c>
      <c r="K126">
        <v>6.6666666666666599</v>
      </c>
      <c r="L126" s="1">
        <v>20046.150000000001</v>
      </c>
      <c r="M126" s="1"/>
      <c r="N126" s="1"/>
      <c r="O126" s="1"/>
      <c r="P126">
        <v>330347059</v>
      </c>
    </row>
    <row r="127" spans="1:16" x14ac:dyDescent="0.35">
      <c r="A127">
        <v>2025</v>
      </c>
      <c r="B127">
        <v>6</v>
      </c>
      <c r="C127">
        <v>126</v>
      </c>
      <c r="D127" s="9">
        <v>45689</v>
      </c>
      <c r="E127" s="9"/>
      <c r="F127" t="s">
        <v>69</v>
      </c>
      <c r="G127" t="s">
        <v>70</v>
      </c>
      <c r="H127">
        <v>2338230200000</v>
      </c>
      <c r="I127" t="s">
        <v>197</v>
      </c>
      <c r="J127" s="1">
        <v>246248</v>
      </c>
      <c r="K127">
        <v>6.6666666666666599</v>
      </c>
      <c r="L127" s="1">
        <v>36937.199999999997</v>
      </c>
      <c r="M127" s="1"/>
      <c r="N127" s="1"/>
      <c r="O127" s="1"/>
      <c r="P127">
        <v>331380042</v>
      </c>
    </row>
    <row r="128" spans="1:16" x14ac:dyDescent="0.35">
      <c r="A128">
        <v>2025</v>
      </c>
      <c r="B128">
        <v>6</v>
      </c>
      <c r="C128">
        <v>127</v>
      </c>
      <c r="D128" s="9">
        <v>45689</v>
      </c>
      <c r="E128" s="9"/>
      <c r="F128" t="s">
        <v>69</v>
      </c>
      <c r="G128" t="s">
        <v>70</v>
      </c>
      <c r="H128">
        <v>2338288400000</v>
      </c>
      <c r="I128" t="s">
        <v>198</v>
      </c>
      <c r="J128" s="1">
        <v>301794</v>
      </c>
      <c r="K128">
        <v>6.6666666666666599</v>
      </c>
      <c r="L128" s="1">
        <v>45269.1</v>
      </c>
      <c r="M128" s="1"/>
      <c r="N128" s="1"/>
      <c r="O128" s="1"/>
      <c r="P128">
        <v>331381032</v>
      </c>
    </row>
    <row r="129" spans="1:16" x14ac:dyDescent="0.35">
      <c r="A129">
        <v>2025</v>
      </c>
      <c r="B129">
        <v>6</v>
      </c>
      <c r="C129">
        <v>128</v>
      </c>
      <c r="D129" s="9">
        <v>45689</v>
      </c>
      <c r="E129" s="9"/>
      <c r="F129" t="s">
        <v>69</v>
      </c>
      <c r="G129" t="s">
        <v>70</v>
      </c>
      <c r="H129">
        <v>2338403500000</v>
      </c>
      <c r="I129" t="s">
        <v>199</v>
      </c>
      <c r="J129" s="1">
        <v>2595163</v>
      </c>
      <c r="K129">
        <v>6.6666666666666599</v>
      </c>
      <c r="L129" s="1">
        <v>389274.45</v>
      </c>
      <c r="M129" s="1"/>
      <c r="N129" s="1"/>
      <c r="O129" s="1"/>
      <c r="P129">
        <v>331384978</v>
      </c>
    </row>
    <row r="130" spans="1:16" x14ac:dyDescent="0.35">
      <c r="A130">
        <v>2025</v>
      </c>
      <c r="B130">
        <v>6</v>
      </c>
      <c r="C130">
        <v>129</v>
      </c>
      <c r="D130" s="9">
        <v>45658</v>
      </c>
      <c r="E130" s="9"/>
      <c r="F130" t="s">
        <v>69</v>
      </c>
      <c r="G130" t="s">
        <v>70</v>
      </c>
      <c r="H130">
        <v>2338428700000</v>
      </c>
      <c r="I130" t="s">
        <v>200</v>
      </c>
      <c r="J130" s="1">
        <v>207255</v>
      </c>
      <c r="K130">
        <v>6.6666666666666599</v>
      </c>
      <c r="L130" s="1">
        <v>31088.25</v>
      </c>
      <c r="M130" s="1"/>
      <c r="N130" s="1"/>
      <c r="O130" s="1"/>
      <c r="P130">
        <v>330535133</v>
      </c>
    </row>
    <row r="131" spans="1:16" x14ac:dyDescent="0.35">
      <c r="A131">
        <v>2025</v>
      </c>
      <c r="B131">
        <v>6</v>
      </c>
      <c r="C131">
        <v>130</v>
      </c>
      <c r="D131" s="9">
        <v>45689</v>
      </c>
      <c r="E131" s="9"/>
      <c r="F131" t="s">
        <v>69</v>
      </c>
      <c r="G131" t="s">
        <v>70</v>
      </c>
      <c r="H131">
        <v>2338428700000</v>
      </c>
      <c r="I131" t="s">
        <v>200</v>
      </c>
      <c r="J131" s="1">
        <v>209272</v>
      </c>
      <c r="K131">
        <v>6.6666666666666599</v>
      </c>
      <c r="L131" s="1">
        <v>31390.799999999999</v>
      </c>
      <c r="M131" s="1"/>
      <c r="N131" s="1"/>
      <c r="O131" s="1"/>
      <c r="P131">
        <v>331386296</v>
      </c>
    </row>
    <row r="132" spans="1:16" x14ac:dyDescent="0.35">
      <c r="A132">
        <v>2025</v>
      </c>
      <c r="B132">
        <v>6</v>
      </c>
      <c r="C132">
        <v>131</v>
      </c>
      <c r="D132" s="9">
        <v>45689</v>
      </c>
      <c r="E132" s="9"/>
      <c r="F132" t="s">
        <v>69</v>
      </c>
      <c r="G132" t="s">
        <v>70</v>
      </c>
      <c r="H132">
        <v>2338460200000</v>
      </c>
      <c r="I132" t="s">
        <v>201</v>
      </c>
      <c r="J132" s="1">
        <v>1256959</v>
      </c>
      <c r="K132">
        <v>6.6666666666666599</v>
      </c>
      <c r="L132" s="1">
        <v>188543.85</v>
      </c>
      <c r="M132" s="1"/>
      <c r="N132" s="1"/>
      <c r="O132" s="1"/>
      <c r="P132">
        <v>331388045</v>
      </c>
    </row>
    <row r="133" spans="1:16" x14ac:dyDescent="0.35">
      <c r="A133">
        <v>2025</v>
      </c>
      <c r="B133">
        <v>6</v>
      </c>
      <c r="C133">
        <v>132</v>
      </c>
      <c r="D133" s="9">
        <v>45689</v>
      </c>
      <c r="E133" s="9"/>
      <c r="F133" t="s">
        <v>69</v>
      </c>
      <c r="G133" t="s">
        <v>70</v>
      </c>
      <c r="H133">
        <v>2338489900000</v>
      </c>
      <c r="I133" t="s">
        <v>202</v>
      </c>
      <c r="J133" s="1">
        <v>468062</v>
      </c>
      <c r="K133">
        <v>6.6666666666666599</v>
      </c>
      <c r="L133" s="1">
        <v>70209.3</v>
      </c>
      <c r="M133" s="1"/>
      <c r="N133" s="1"/>
      <c r="O133" s="1"/>
      <c r="P133">
        <v>331389621</v>
      </c>
    </row>
    <row r="134" spans="1:16" x14ac:dyDescent="0.35">
      <c r="A134">
        <v>2025</v>
      </c>
      <c r="B134">
        <v>6</v>
      </c>
      <c r="C134">
        <v>133</v>
      </c>
      <c r="D134" s="9">
        <v>45689</v>
      </c>
      <c r="E134" s="9"/>
      <c r="F134" t="s">
        <v>69</v>
      </c>
      <c r="G134" t="s">
        <v>70</v>
      </c>
      <c r="H134">
        <v>2338623800000</v>
      </c>
      <c r="I134" t="s">
        <v>203</v>
      </c>
      <c r="J134" s="1">
        <v>2726095</v>
      </c>
      <c r="K134">
        <v>6.6666666666666599</v>
      </c>
      <c r="L134" s="1">
        <v>408914.25</v>
      </c>
      <c r="M134" s="1"/>
      <c r="N134" s="1"/>
      <c r="O134" s="1"/>
      <c r="P134">
        <v>331396782</v>
      </c>
    </row>
    <row r="135" spans="1:16" x14ac:dyDescent="0.35">
      <c r="A135">
        <v>2025</v>
      </c>
      <c r="B135">
        <v>6</v>
      </c>
      <c r="C135">
        <v>134</v>
      </c>
      <c r="D135" s="9">
        <v>45689</v>
      </c>
      <c r="E135" s="9"/>
      <c r="F135" t="s">
        <v>69</v>
      </c>
      <c r="G135" t="s">
        <v>70</v>
      </c>
      <c r="H135">
        <v>2338693900000</v>
      </c>
      <c r="I135" t="s">
        <v>204</v>
      </c>
      <c r="J135" s="1">
        <v>3141320</v>
      </c>
      <c r="K135">
        <v>6.6666666666666599</v>
      </c>
      <c r="L135" s="1">
        <v>471198</v>
      </c>
      <c r="M135" s="1"/>
      <c r="N135" s="1"/>
      <c r="O135" s="1"/>
      <c r="P135">
        <v>331400659</v>
      </c>
    </row>
    <row r="136" spans="1:16" x14ac:dyDescent="0.35">
      <c r="A136">
        <v>2025</v>
      </c>
      <c r="B136">
        <v>6</v>
      </c>
      <c r="C136">
        <v>135</v>
      </c>
      <c r="D136" s="9">
        <v>45689</v>
      </c>
      <c r="E136" s="9"/>
      <c r="F136" t="s">
        <v>69</v>
      </c>
      <c r="G136" t="s">
        <v>70</v>
      </c>
      <c r="H136">
        <v>2338698100000</v>
      </c>
      <c r="I136" t="s">
        <v>205</v>
      </c>
      <c r="J136" s="1">
        <v>2413319</v>
      </c>
      <c r="K136">
        <v>6.6666666666666599</v>
      </c>
      <c r="L136" s="1">
        <v>361997.85</v>
      </c>
      <c r="M136" s="1"/>
      <c r="N136" s="1"/>
      <c r="O136" s="1"/>
      <c r="P136">
        <v>331400840</v>
      </c>
    </row>
    <row r="137" spans="1:16" x14ac:dyDescent="0.35">
      <c r="A137">
        <v>2025</v>
      </c>
      <c r="B137">
        <v>6</v>
      </c>
      <c r="C137">
        <v>136</v>
      </c>
      <c r="D137" s="9">
        <v>45689</v>
      </c>
      <c r="E137" s="9"/>
      <c r="F137" t="s">
        <v>69</v>
      </c>
      <c r="G137" t="s">
        <v>70</v>
      </c>
      <c r="H137">
        <v>2338698900000</v>
      </c>
      <c r="I137" t="s">
        <v>206</v>
      </c>
      <c r="J137" s="1">
        <v>284696</v>
      </c>
      <c r="K137">
        <v>6.6666666666666599</v>
      </c>
      <c r="L137" s="1">
        <v>42704.4</v>
      </c>
      <c r="M137" s="1"/>
      <c r="N137" s="1"/>
      <c r="O137" s="1"/>
      <c r="P137">
        <v>331400881</v>
      </c>
    </row>
    <row r="138" spans="1:16" x14ac:dyDescent="0.35">
      <c r="A138">
        <v>2025</v>
      </c>
      <c r="B138">
        <v>6</v>
      </c>
      <c r="C138">
        <v>137</v>
      </c>
      <c r="D138" s="9">
        <v>45689</v>
      </c>
      <c r="E138" s="9"/>
      <c r="F138" t="s">
        <v>69</v>
      </c>
      <c r="G138" t="s">
        <v>70</v>
      </c>
      <c r="H138">
        <v>2338724900000</v>
      </c>
      <c r="I138" t="s">
        <v>207</v>
      </c>
      <c r="J138" s="1">
        <v>4236870</v>
      </c>
      <c r="K138">
        <v>6.6666666666666599</v>
      </c>
      <c r="L138" s="1">
        <v>635530.5</v>
      </c>
      <c r="M138" s="1"/>
      <c r="N138" s="1"/>
      <c r="O138" s="1"/>
      <c r="P138">
        <v>331402333</v>
      </c>
    </row>
    <row r="139" spans="1:16" x14ac:dyDescent="0.35">
      <c r="A139">
        <v>2025</v>
      </c>
      <c r="B139">
        <v>6</v>
      </c>
      <c r="C139">
        <v>138</v>
      </c>
      <c r="D139" s="9">
        <v>45627</v>
      </c>
      <c r="E139" s="9"/>
      <c r="F139" t="s">
        <v>69</v>
      </c>
      <c r="G139" t="s">
        <v>70</v>
      </c>
      <c r="H139">
        <v>2338801600000</v>
      </c>
      <c r="I139" t="s">
        <v>208</v>
      </c>
      <c r="J139" s="1">
        <v>212491</v>
      </c>
      <c r="K139">
        <v>6.6666666666666599</v>
      </c>
      <c r="L139" s="1">
        <v>31873.65</v>
      </c>
      <c r="M139" s="1"/>
      <c r="N139" s="1"/>
      <c r="O139" s="1"/>
      <c r="P139">
        <v>329238574</v>
      </c>
    </row>
    <row r="140" spans="1:16" x14ac:dyDescent="0.35">
      <c r="A140">
        <v>2025</v>
      </c>
      <c r="B140">
        <v>6</v>
      </c>
      <c r="C140">
        <v>139</v>
      </c>
      <c r="D140" s="9">
        <v>45658</v>
      </c>
      <c r="E140" s="9"/>
      <c r="F140" t="s">
        <v>69</v>
      </c>
      <c r="G140" t="s">
        <v>70</v>
      </c>
      <c r="H140">
        <v>2338801600000</v>
      </c>
      <c r="I140" t="s">
        <v>208</v>
      </c>
      <c r="J140" s="1">
        <v>212491</v>
      </c>
      <c r="K140">
        <v>6.6666666666666599</v>
      </c>
      <c r="L140" s="1">
        <v>31873.65</v>
      </c>
      <c r="M140" s="1"/>
      <c r="N140" s="1"/>
      <c r="O140" s="1"/>
      <c r="P140">
        <v>330540836</v>
      </c>
    </row>
    <row r="141" spans="1:16" x14ac:dyDescent="0.35">
      <c r="A141">
        <v>2025</v>
      </c>
      <c r="B141">
        <v>6</v>
      </c>
      <c r="C141">
        <v>140</v>
      </c>
      <c r="D141" s="9">
        <v>45689</v>
      </c>
      <c r="E141" s="9"/>
      <c r="F141" t="s">
        <v>69</v>
      </c>
      <c r="G141" t="s">
        <v>88</v>
      </c>
      <c r="H141">
        <v>2338870800000</v>
      </c>
      <c r="I141" t="s">
        <v>209</v>
      </c>
      <c r="J141" s="1">
        <v>29009017</v>
      </c>
      <c r="K141">
        <v>20</v>
      </c>
      <c r="L141" s="1">
        <v>1450450.85</v>
      </c>
      <c r="M141" s="1"/>
      <c r="N141" s="1"/>
      <c r="O141" s="1"/>
      <c r="P141">
        <v>331410088</v>
      </c>
    </row>
    <row r="142" spans="1:16" x14ac:dyDescent="0.35">
      <c r="A142">
        <v>2025</v>
      </c>
      <c r="B142">
        <v>6</v>
      </c>
      <c r="C142">
        <v>141</v>
      </c>
      <c r="D142" s="9">
        <v>45689</v>
      </c>
      <c r="E142" s="9"/>
      <c r="F142" t="s">
        <v>69</v>
      </c>
      <c r="G142" t="s">
        <v>70</v>
      </c>
      <c r="H142">
        <v>2338899900000</v>
      </c>
      <c r="I142" t="s">
        <v>210</v>
      </c>
      <c r="J142" s="1">
        <v>1742154</v>
      </c>
      <c r="K142">
        <v>6.6666666666666599</v>
      </c>
      <c r="L142" s="1">
        <v>261323.1</v>
      </c>
      <c r="M142" s="1"/>
      <c r="N142" s="1"/>
      <c r="O142" s="1"/>
      <c r="P142">
        <v>331411466</v>
      </c>
    </row>
    <row r="143" spans="1:16" x14ac:dyDescent="0.35">
      <c r="A143">
        <v>2025</v>
      </c>
      <c r="B143">
        <v>6</v>
      </c>
      <c r="C143">
        <v>142</v>
      </c>
      <c r="D143" s="9">
        <v>45658</v>
      </c>
      <c r="E143" s="9"/>
      <c r="F143" t="s">
        <v>69</v>
      </c>
      <c r="G143" t="s">
        <v>70</v>
      </c>
      <c r="H143">
        <v>2339017000000</v>
      </c>
      <c r="I143" t="s">
        <v>211</v>
      </c>
      <c r="J143" s="1">
        <v>556301</v>
      </c>
      <c r="K143">
        <v>6.6666666666666599</v>
      </c>
      <c r="L143" s="1">
        <v>83445.149999999994</v>
      </c>
      <c r="M143" s="1"/>
      <c r="N143" s="1"/>
      <c r="O143" s="1"/>
      <c r="P143">
        <v>330541909</v>
      </c>
    </row>
    <row r="144" spans="1:16" x14ac:dyDescent="0.35">
      <c r="A144">
        <v>2025</v>
      </c>
      <c r="B144">
        <v>6</v>
      </c>
      <c r="C144">
        <v>143</v>
      </c>
      <c r="D144" s="9">
        <v>45689</v>
      </c>
      <c r="E144" s="9"/>
      <c r="F144" t="s">
        <v>69</v>
      </c>
      <c r="G144" t="s">
        <v>70</v>
      </c>
      <c r="H144">
        <v>2339022800000</v>
      </c>
      <c r="I144" t="s">
        <v>212</v>
      </c>
      <c r="J144" s="1">
        <v>2605582</v>
      </c>
      <c r="K144">
        <v>6.6666666666666599</v>
      </c>
      <c r="L144" s="1">
        <v>390837.3</v>
      </c>
      <c r="M144" s="1"/>
      <c r="N144" s="1"/>
      <c r="O144" s="1"/>
      <c r="P144">
        <v>331417968</v>
      </c>
    </row>
    <row r="145" spans="1:16" x14ac:dyDescent="0.35">
      <c r="A145">
        <v>2025</v>
      </c>
      <c r="B145">
        <v>6</v>
      </c>
      <c r="C145">
        <v>144</v>
      </c>
      <c r="D145" s="9">
        <v>45658</v>
      </c>
      <c r="E145" s="9"/>
      <c r="F145" t="s">
        <v>69</v>
      </c>
      <c r="G145" t="s">
        <v>70</v>
      </c>
      <c r="H145">
        <v>2339196200000</v>
      </c>
      <c r="I145" t="s">
        <v>213</v>
      </c>
      <c r="J145" s="1">
        <v>197820</v>
      </c>
      <c r="K145">
        <v>6.6666666666666599</v>
      </c>
      <c r="L145" s="1">
        <v>29673</v>
      </c>
      <c r="M145" s="1"/>
      <c r="N145" s="1"/>
      <c r="O145" s="1"/>
      <c r="P145">
        <v>330543756</v>
      </c>
    </row>
    <row r="146" spans="1:16" x14ac:dyDescent="0.35">
      <c r="A146">
        <v>2025</v>
      </c>
      <c r="B146">
        <v>6</v>
      </c>
      <c r="C146">
        <v>145</v>
      </c>
      <c r="D146" s="9">
        <v>45689</v>
      </c>
      <c r="E146" s="9"/>
      <c r="F146" t="s">
        <v>69</v>
      </c>
      <c r="G146" t="s">
        <v>70</v>
      </c>
      <c r="H146">
        <v>2339290600000</v>
      </c>
      <c r="I146" t="s">
        <v>214</v>
      </c>
      <c r="J146" s="1">
        <v>2417046</v>
      </c>
      <c r="K146">
        <v>6.6666666666666599</v>
      </c>
      <c r="L146" s="1">
        <v>362556.9</v>
      </c>
      <c r="M146" s="1"/>
      <c r="N146" s="1"/>
      <c r="O146" s="1"/>
      <c r="P146">
        <v>331431209</v>
      </c>
    </row>
    <row r="147" spans="1:16" x14ac:dyDescent="0.35">
      <c r="A147">
        <v>2025</v>
      </c>
      <c r="B147">
        <v>6</v>
      </c>
      <c r="C147">
        <v>146</v>
      </c>
      <c r="D147" s="9">
        <v>45689</v>
      </c>
      <c r="E147" s="9"/>
      <c r="F147" t="s">
        <v>69</v>
      </c>
      <c r="G147" t="s">
        <v>70</v>
      </c>
      <c r="H147">
        <v>2339366900000</v>
      </c>
      <c r="I147" t="s">
        <v>215</v>
      </c>
      <c r="J147" s="1">
        <v>2279564</v>
      </c>
      <c r="K147">
        <v>6.6666666666666599</v>
      </c>
      <c r="L147" s="1">
        <v>341934.6</v>
      </c>
      <c r="M147" s="1"/>
      <c r="N147" s="1"/>
      <c r="O147" s="1"/>
      <c r="P147">
        <v>331434641</v>
      </c>
    </row>
    <row r="148" spans="1:16" x14ac:dyDescent="0.35">
      <c r="A148">
        <v>2025</v>
      </c>
      <c r="B148">
        <v>6</v>
      </c>
      <c r="C148">
        <v>147</v>
      </c>
      <c r="D148" s="9">
        <v>45689</v>
      </c>
      <c r="E148" s="9"/>
      <c r="F148" t="s">
        <v>69</v>
      </c>
      <c r="G148" t="s">
        <v>70</v>
      </c>
      <c r="H148">
        <v>2339416400000</v>
      </c>
      <c r="I148" t="s">
        <v>216</v>
      </c>
      <c r="J148" s="1">
        <v>2717220</v>
      </c>
      <c r="K148">
        <v>6.6666666666666599</v>
      </c>
      <c r="L148" s="1">
        <v>407583</v>
      </c>
      <c r="M148" s="1"/>
      <c r="N148" s="1"/>
      <c r="O148" s="1"/>
      <c r="P148">
        <v>331436661</v>
      </c>
    </row>
    <row r="149" spans="1:16" x14ac:dyDescent="0.35">
      <c r="A149">
        <v>2025</v>
      </c>
      <c r="B149">
        <v>6</v>
      </c>
      <c r="C149">
        <v>148</v>
      </c>
      <c r="D149" s="9">
        <v>45627</v>
      </c>
      <c r="E149" s="9"/>
      <c r="F149" t="s">
        <v>69</v>
      </c>
      <c r="G149" t="s">
        <v>70</v>
      </c>
      <c r="H149">
        <v>2339652900000</v>
      </c>
      <c r="I149" t="s">
        <v>217</v>
      </c>
      <c r="J149" s="1">
        <v>180410</v>
      </c>
      <c r="K149">
        <v>6.6666666666666599</v>
      </c>
      <c r="L149" s="1">
        <v>27061.5</v>
      </c>
      <c r="M149" s="1"/>
      <c r="N149" s="1"/>
      <c r="O149" s="1"/>
      <c r="P149">
        <v>329248060</v>
      </c>
    </row>
    <row r="150" spans="1:16" x14ac:dyDescent="0.35">
      <c r="A150">
        <v>2025</v>
      </c>
      <c r="B150">
        <v>6</v>
      </c>
      <c r="C150">
        <v>149</v>
      </c>
      <c r="D150" s="9">
        <v>45717</v>
      </c>
      <c r="E150" s="9"/>
      <c r="F150" t="s">
        <v>69</v>
      </c>
      <c r="G150" t="s">
        <v>70</v>
      </c>
      <c r="H150">
        <v>2339789200000</v>
      </c>
      <c r="I150" t="s">
        <v>218</v>
      </c>
      <c r="J150" s="1">
        <v>2082002</v>
      </c>
      <c r="K150">
        <v>6.6666666666666599</v>
      </c>
      <c r="L150" s="1">
        <v>312300.3</v>
      </c>
      <c r="M150" s="1"/>
      <c r="N150" s="1"/>
      <c r="O150" s="1"/>
      <c r="P150">
        <v>332981939</v>
      </c>
    </row>
    <row r="151" spans="1:16" x14ac:dyDescent="0.35">
      <c r="A151">
        <v>2025</v>
      </c>
      <c r="B151">
        <v>6</v>
      </c>
      <c r="C151">
        <v>150</v>
      </c>
      <c r="D151" s="9">
        <v>45689</v>
      </c>
      <c r="E151" s="9"/>
      <c r="F151" t="s">
        <v>69</v>
      </c>
      <c r="G151" t="s">
        <v>70</v>
      </c>
      <c r="H151">
        <v>2339808000000</v>
      </c>
      <c r="I151" t="s">
        <v>219</v>
      </c>
      <c r="J151" s="1">
        <v>3035554</v>
      </c>
      <c r="K151">
        <v>6.6666666666666599</v>
      </c>
      <c r="L151" s="1">
        <v>455333.1</v>
      </c>
      <c r="M151" s="1"/>
      <c r="N151" s="1"/>
      <c r="O151" s="1"/>
      <c r="P151">
        <v>331452536</v>
      </c>
    </row>
    <row r="152" spans="1:16" x14ac:dyDescent="0.35">
      <c r="A152">
        <v>2025</v>
      </c>
      <c r="B152">
        <v>6</v>
      </c>
      <c r="C152">
        <v>151</v>
      </c>
      <c r="D152" s="9">
        <v>45658</v>
      </c>
      <c r="E152" s="9"/>
      <c r="F152" t="s">
        <v>69</v>
      </c>
      <c r="G152" t="s">
        <v>70</v>
      </c>
      <c r="H152">
        <v>2339834100000</v>
      </c>
      <c r="I152" t="s">
        <v>220</v>
      </c>
      <c r="J152" s="1">
        <v>234573</v>
      </c>
      <c r="K152">
        <v>6.6666666666666599</v>
      </c>
      <c r="L152" s="1">
        <v>35185.949999999997</v>
      </c>
      <c r="M152" s="1"/>
      <c r="N152" s="1"/>
      <c r="O152" s="1"/>
      <c r="P152">
        <v>330551247</v>
      </c>
    </row>
    <row r="153" spans="1:16" x14ac:dyDescent="0.35">
      <c r="A153">
        <v>2025</v>
      </c>
      <c r="B153">
        <v>6</v>
      </c>
      <c r="C153">
        <v>152</v>
      </c>
      <c r="D153" s="9">
        <v>45689</v>
      </c>
      <c r="E153" s="9"/>
      <c r="F153" t="s">
        <v>69</v>
      </c>
      <c r="G153" t="s">
        <v>70</v>
      </c>
      <c r="H153">
        <v>2339895600000</v>
      </c>
      <c r="I153" t="s">
        <v>221</v>
      </c>
      <c r="J153" s="1">
        <v>4977790</v>
      </c>
      <c r="K153">
        <v>6.6666666666666599</v>
      </c>
      <c r="L153" s="1">
        <v>746668.5</v>
      </c>
      <c r="M153" s="1"/>
      <c r="N153" s="1"/>
      <c r="O153" s="1"/>
      <c r="P153">
        <v>331454086</v>
      </c>
    </row>
    <row r="154" spans="1:16" x14ac:dyDescent="0.35">
      <c r="A154">
        <v>2025</v>
      </c>
      <c r="B154">
        <v>6</v>
      </c>
      <c r="C154">
        <v>153</v>
      </c>
      <c r="D154" s="9">
        <v>45658</v>
      </c>
      <c r="E154" s="9"/>
      <c r="F154" t="s">
        <v>69</v>
      </c>
      <c r="G154" t="s">
        <v>70</v>
      </c>
      <c r="H154">
        <v>2339914100000</v>
      </c>
      <c r="I154" t="s">
        <v>222</v>
      </c>
      <c r="J154" s="1">
        <v>114974</v>
      </c>
      <c r="K154">
        <v>6.6666666666666599</v>
      </c>
      <c r="L154" s="1">
        <v>17246.099999999999</v>
      </c>
      <c r="M154" s="1"/>
      <c r="N154" s="1"/>
      <c r="O154" s="1"/>
      <c r="P154">
        <v>330551916</v>
      </c>
    </row>
    <row r="155" spans="1:16" x14ac:dyDescent="0.35">
      <c r="A155">
        <v>2025</v>
      </c>
      <c r="B155">
        <v>6</v>
      </c>
      <c r="C155">
        <v>154</v>
      </c>
      <c r="D155" s="9">
        <v>45658</v>
      </c>
      <c r="E155" s="9"/>
      <c r="F155" t="s">
        <v>69</v>
      </c>
      <c r="G155" t="s">
        <v>70</v>
      </c>
      <c r="H155">
        <v>2340052600000</v>
      </c>
      <c r="I155" t="s">
        <v>223</v>
      </c>
      <c r="J155" s="1">
        <v>244241</v>
      </c>
      <c r="K155">
        <v>6.6666666666666599</v>
      </c>
      <c r="L155" s="1">
        <v>36636.15</v>
      </c>
      <c r="M155" s="1"/>
      <c r="N155" s="1"/>
      <c r="O155" s="1"/>
      <c r="P155">
        <v>330552989</v>
      </c>
    </row>
    <row r="156" spans="1:16" x14ac:dyDescent="0.35">
      <c r="A156">
        <v>2025</v>
      </c>
      <c r="B156">
        <v>6</v>
      </c>
      <c r="C156">
        <v>155</v>
      </c>
      <c r="D156" s="9">
        <v>45689</v>
      </c>
      <c r="E156" s="9"/>
      <c r="F156" t="s">
        <v>69</v>
      </c>
      <c r="G156" t="s">
        <v>70</v>
      </c>
      <c r="H156">
        <v>2340079200000</v>
      </c>
      <c r="I156" t="s">
        <v>224</v>
      </c>
      <c r="J156" s="1">
        <v>239167</v>
      </c>
      <c r="K156">
        <v>6.6666666666666599</v>
      </c>
      <c r="L156" s="1">
        <v>35875.050000000003</v>
      </c>
      <c r="M156" s="1"/>
      <c r="N156" s="1"/>
      <c r="O156" s="1"/>
      <c r="P156">
        <v>332023021</v>
      </c>
    </row>
    <row r="157" spans="1:16" x14ac:dyDescent="0.35">
      <c r="A157">
        <v>2025</v>
      </c>
      <c r="B157">
        <v>6</v>
      </c>
      <c r="C157">
        <v>156</v>
      </c>
      <c r="D157" s="9">
        <v>45658</v>
      </c>
      <c r="E157" s="9"/>
      <c r="F157" t="s">
        <v>69</v>
      </c>
      <c r="G157" t="s">
        <v>70</v>
      </c>
      <c r="H157">
        <v>2340232100000</v>
      </c>
      <c r="I157" t="s">
        <v>225</v>
      </c>
      <c r="J157" s="1">
        <v>244803</v>
      </c>
      <c r="K157">
        <v>6.6666666666666599</v>
      </c>
      <c r="L157" s="1">
        <v>36720.449999999997</v>
      </c>
      <c r="M157" s="1"/>
      <c r="N157" s="1"/>
      <c r="O157" s="1"/>
      <c r="P157">
        <v>330555073</v>
      </c>
    </row>
    <row r="158" spans="1:16" x14ac:dyDescent="0.35">
      <c r="A158">
        <v>2025</v>
      </c>
      <c r="B158">
        <v>6</v>
      </c>
      <c r="C158">
        <v>157</v>
      </c>
      <c r="D158" s="9">
        <v>45689</v>
      </c>
      <c r="E158" s="9"/>
      <c r="F158" t="s">
        <v>69</v>
      </c>
      <c r="G158" t="s">
        <v>70</v>
      </c>
      <c r="H158">
        <v>2340470700000</v>
      </c>
      <c r="I158" t="s">
        <v>226</v>
      </c>
      <c r="J158" s="1">
        <v>183005</v>
      </c>
      <c r="K158">
        <v>6.6666666666666599</v>
      </c>
      <c r="L158" s="1">
        <v>27450.75</v>
      </c>
      <c r="M158" s="1"/>
      <c r="N158" s="1"/>
      <c r="O158" s="1"/>
      <c r="P158">
        <v>332025984</v>
      </c>
    </row>
    <row r="159" spans="1:16" x14ac:dyDescent="0.35">
      <c r="A159">
        <v>2025</v>
      </c>
      <c r="B159">
        <v>6</v>
      </c>
      <c r="C159">
        <v>158</v>
      </c>
      <c r="D159" s="9">
        <v>45658</v>
      </c>
      <c r="E159" s="9"/>
      <c r="F159" t="s">
        <v>69</v>
      </c>
      <c r="G159" t="s">
        <v>70</v>
      </c>
      <c r="H159">
        <v>2340638400000</v>
      </c>
      <c r="I159" t="s">
        <v>227</v>
      </c>
      <c r="J159" s="1">
        <v>246480</v>
      </c>
      <c r="K159">
        <v>6.6666666666666599</v>
      </c>
      <c r="L159" s="1">
        <v>36972</v>
      </c>
      <c r="M159" s="1"/>
      <c r="N159" s="1"/>
      <c r="O159" s="1"/>
      <c r="P159">
        <v>330558481</v>
      </c>
    </row>
    <row r="160" spans="1:16" x14ac:dyDescent="0.35">
      <c r="A160">
        <v>2025</v>
      </c>
      <c r="B160">
        <v>6</v>
      </c>
      <c r="C160">
        <v>159</v>
      </c>
      <c r="D160" s="9">
        <v>45658</v>
      </c>
      <c r="E160" s="9"/>
      <c r="F160" t="s">
        <v>69</v>
      </c>
      <c r="G160" t="s">
        <v>70</v>
      </c>
      <c r="H160">
        <v>2340673600000</v>
      </c>
      <c r="I160" t="s">
        <v>228</v>
      </c>
      <c r="J160" s="1">
        <v>162938</v>
      </c>
      <c r="K160">
        <v>6.6666666666666599</v>
      </c>
      <c r="L160" s="1">
        <v>24440.7</v>
      </c>
      <c r="M160" s="1"/>
      <c r="N160" s="1"/>
      <c r="O160" s="1"/>
      <c r="P160">
        <v>330558671</v>
      </c>
    </row>
    <row r="161" spans="1:16" x14ac:dyDescent="0.35">
      <c r="A161">
        <v>2025</v>
      </c>
      <c r="B161">
        <v>6</v>
      </c>
      <c r="C161">
        <v>160</v>
      </c>
      <c r="D161" s="9">
        <v>45658</v>
      </c>
      <c r="E161" s="9"/>
      <c r="F161" t="s">
        <v>69</v>
      </c>
      <c r="G161" t="s">
        <v>70</v>
      </c>
      <c r="H161">
        <v>2340816700000</v>
      </c>
      <c r="I161" t="s">
        <v>229</v>
      </c>
      <c r="J161" s="1">
        <v>199681</v>
      </c>
      <c r="K161">
        <v>6.6666666666666599</v>
      </c>
      <c r="L161" s="1">
        <v>29952.15</v>
      </c>
      <c r="M161" s="1"/>
      <c r="N161" s="1"/>
      <c r="O161" s="1"/>
      <c r="P161">
        <v>330562897</v>
      </c>
    </row>
    <row r="162" spans="1:16" x14ac:dyDescent="0.35">
      <c r="A162">
        <v>2025</v>
      </c>
      <c r="B162">
        <v>6</v>
      </c>
      <c r="C162">
        <v>161</v>
      </c>
      <c r="D162" s="9">
        <v>45689</v>
      </c>
      <c r="E162" s="9"/>
      <c r="F162" t="s">
        <v>69</v>
      </c>
      <c r="G162" t="s">
        <v>70</v>
      </c>
      <c r="H162">
        <v>2340834800000</v>
      </c>
      <c r="I162" t="s">
        <v>230</v>
      </c>
      <c r="J162" s="1">
        <v>198531</v>
      </c>
      <c r="K162">
        <v>6.6666666666666599</v>
      </c>
      <c r="L162" s="1">
        <v>29779.65</v>
      </c>
      <c r="M162" s="1"/>
      <c r="N162" s="1"/>
      <c r="O162" s="1"/>
      <c r="P162">
        <v>332032683</v>
      </c>
    </row>
    <row r="163" spans="1:16" x14ac:dyDescent="0.35">
      <c r="A163">
        <v>2025</v>
      </c>
      <c r="B163">
        <v>6</v>
      </c>
      <c r="C163">
        <v>162</v>
      </c>
      <c r="D163" s="9">
        <v>45658</v>
      </c>
      <c r="E163" s="9"/>
      <c r="F163" t="s">
        <v>69</v>
      </c>
      <c r="G163" t="s">
        <v>70</v>
      </c>
      <c r="H163">
        <v>2340865200000</v>
      </c>
      <c r="I163" t="s">
        <v>231</v>
      </c>
      <c r="J163" s="1">
        <v>244642</v>
      </c>
      <c r="K163">
        <v>6.6666666666666599</v>
      </c>
      <c r="L163" s="1">
        <v>36696.300000000003</v>
      </c>
      <c r="M163" s="1"/>
      <c r="N163" s="1"/>
      <c r="O163" s="1"/>
      <c r="P163">
        <v>330566195</v>
      </c>
    </row>
    <row r="164" spans="1:16" x14ac:dyDescent="0.35">
      <c r="A164">
        <v>2025</v>
      </c>
      <c r="B164">
        <v>6</v>
      </c>
      <c r="C164">
        <v>163</v>
      </c>
      <c r="D164" s="9">
        <v>45658</v>
      </c>
      <c r="E164" s="9"/>
      <c r="F164" t="s">
        <v>69</v>
      </c>
      <c r="G164" t="s">
        <v>70</v>
      </c>
      <c r="H164">
        <v>2340896500000</v>
      </c>
      <c r="I164" t="s">
        <v>232</v>
      </c>
      <c r="J164" s="1">
        <v>320080</v>
      </c>
      <c r="K164">
        <v>6.6666666666666599</v>
      </c>
      <c r="L164" s="1">
        <v>48012</v>
      </c>
      <c r="M164" s="1"/>
      <c r="N164" s="1"/>
      <c r="O164" s="1"/>
      <c r="P164">
        <v>330566385</v>
      </c>
    </row>
    <row r="165" spans="1:16" x14ac:dyDescent="0.35">
      <c r="A165">
        <v>2025</v>
      </c>
      <c r="B165">
        <v>6</v>
      </c>
      <c r="C165">
        <v>164</v>
      </c>
      <c r="D165" s="9">
        <v>45658</v>
      </c>
      <c r="E165" s="9"/>
      <c r="F165" t="s">
        <v>69</v>
      </c>
      <c r="G165" t="s">
        <v>70</v>
      </c>
      <c r="H165">
        <v>2340991500000</v>
      </c>
      <c r="I165" t="s">
        <v>233</v>
      </c>
      <c r="J165" s="1">
        <v>126515</v>
      </c>
      <c r="K165">
        <v>6.6666666666666599</v>
      </c>
      <c r="L165" s="1">
        <v>18977.25</v>
      </c>
      <c r="M165" s="1"/>
      <c r="N165" s="1"/>
      <c r="O165" s="1"/>
      <c r="P165">
        <v>330568118</v>
      </c>
    </row>
    <row r="166" spans="1:16" x14ac:dyDescent="0.35">
      <c r="A166">
        <v>2025</v>
      </c>
      <c r="B166">
        <v>6</v>
      </c>
      <c r="C166">
        <v>165</v>
      </c>
      <c r="D166" s="9">
        <v>45658</v>
      </c>
      <c r="E166" s="9"/>
      <c r="F166" t="s">
        <v>69</v>
      </c>
      <c r="G166" t="s">
        <v>70</v>
      </c>
      <c r="H166">
        <v>2341182500000</v>
      </c>
      <c r="I166" t="s">
        <v>234</v>
      </c>
      <c r="J166" s="1">
        <v>273859</v>
      </c>
      <c r="K166">
        <v>6.6666666666666599</v>
      </c>
      <c r="L166" s="1">
        <v>41078.85</v>
      </c>
      <c r="M166" s="1"/>
      <c r="N166" s="1"/>
      <c r="O166" s="1"/>
      <c r="P166">
        <v>330569959</v>
      </c>
    </row>
    <row r="167" spans="1:16" x14ac:dyDescent="0.35">
      <c r="A167">
        <v>2025</v>
      </c>
      <c r="B167">
        <v>6</v>
      </c>
      <c r="C167">
        <v>166</v>
      </c>
      <c r="D167" s="9">
        <v>45658</v>
      </c>
      <c r="E167" s="9"/>
      <c r="F167" t="s">
        <v>69</v>
      </c>
      <c r="G167" t="s">
        <v>235</v>
      </c>
      <c r="H167">
        <v>2341371200000</v>
      </c>
      <c r="I167" t="s">
        <v>236</v>
      </c>
      <c r="J167" s="1">
        <v>36670</v>
      </c>
      <c r="K167">
        <v>4</v>
      </c>
      <c r="L167" s="1">
        <v>9167.5</v>
      </c>
      <c r="M167" s="1"/>
      <c r="N167" s="1"/>
      <c r="O167" s="1"/>
      <c r="P167">
        <v>330573118</v>
      </c>
    </row>
    <row r="168" spans="1:16" x14ac:dyDescent="0.35">
      <c r="A168">
        <v>2025</v>
      </c>
      <c r="B168">
        <v>6</v>
      </c>
      <c r="C168">
        <v>167</v>
      </c>
      <c r="D168" s="9">
        <v>45689</v>
      </c>
      <c r="E168" s="9"/>
      <c r="F168" t="s">
        <v>69</v>
      </c>
      <c r="G168" t="s">
        <v>235</v>
      </c>
      <c r="H168">
        <v>2341444100000</v>
      </c>
      <c r="I168" t="s">
        <v>237</v>
      </c>
      <c r="J168" s="1">
        <v>22012</v>
      </c>
      <c r="K168">
        <v>4</v>
      </c>
      <c r="L168" s="1">
        <v>5503</v>
      </c>
      <c r="M168" s="1"/>
      <c r="N168" s="1"/>
      <c r="O168" s="1"/>
      <c r="P168">
        <v>332041601</v>
      </c>
    </row>
    <row r="169" spans="1:16" x14ac:dyDescent="0.35">
      <c r="A169">
        <v>2025</v>
      </c>
      <c r="B169">
        <v>6</v>
      </c>
      <c r="C169">
        <v>168</v>
      </c>
      <c r="D169" s="9">
        <v>45627</v>
      </c>
      <c r="E169" s="9"/>
      <c r="F169" t="s">
        <v>69</v>
      </c>
      <c r="G169" t="s">
        <v>70</v>
      </c>
      <c r="H169">
        <v>2341956700000</v>
      </c>
      <c r="I169" t="s">
        <v>238</v>
      </c>
      <c r="J169" s="1">
        <v>178130</v>
      </c>
      <c r="K169">
        <v>6.6666666666666599</v>
      </c>
      <c r="L169" s="1">
        <v>26719.5</v>
      </c>
      <c r="M169" s="1"/>
      <c r="N169" s="1"/>
      <c r="O169" s="1"/>
      <c r="P169">
        <v>329288017</v>
      </c>
    </row>
    <row r="170" spans="1:16" x14ac:dyDescent="0.35">
      <c r="A170">
        <v>2025</v>
      </c>
      <c r="B170">
        <v>6</v>
      </c>
      <c r="C170">
        <v>169</v>
      </c>
      <c r="D170" s="9">
        <v>45658</v>
      </c>
      <c r="E170" s="9"/>
      <c r="F170" t="s">
        <v>69</v>
      </c>
      <c r="G170" t="s">
        <v>70</v>
      </c>
      <c r="H170">
        <v>2341956700000</v>
      </c>
      <c r="I170" t="s">
        <v>238</v>
      </c>
      <c r="J170" s="1">
        <v>178130</v>
      </c>
      <c r="K170">
        <v>6.6666666666666599</v>
      </c>
      <c r="L170" s="1">
        <v>26719.5</v>
      </c>
      <c r="M170" s="1"/>
      <c r="N170" s="1"/>
      <c r="O170" s="1"/>
      <c r="P170">
        <v>330588892</v>
      </c>
    </row>
    <row r="171" spans="1:16" x14ac:dyDescent="0.35">
      <c r="A171">
        <v>2025</v>
      </c>
      <c r="B171">
        <v>6</v>
      </c>
      <c r="C171">
        <v>170</v>
      </c>
      <c r="D171" s="9">
        <v>45689</v>
      </c>
      <c r="E171" s="9"/>
      <c r="F171" t="s">
        <v>69</v>
      </c>
      <c r="G171" t="s">
        <v>70</v>
      </c>
      <c r="H171">
        <v>2341956700000</v>
      </c>
      <c r="I171" t="s">
        <v>238</v>
      </c>
      <c r="J171" s="1">
        <v>178130</v>
      </c>
      <c r="K171">
        <v>6.6666666666666599</v>
      </c>
      <c r="L171" s="1">
        <v>26719.5</v>
      </c>
      <c r="M171" s="1"/>
      <c r="N171" s="1"/>
      <c r="O171" s="1"/>
      <c r="P171">
        <v>332056013</v>
      </c>
    </row>
    <row r="172" spans="1:16" x14ac:dyDescent="0.35">
      <c r="A172">
        <v>2025</v>
      </c>
      <c r="B172">
        <v>6</v>
      </c>
      <c r="C172">
        <v>171</v>
      </c>
      <c r="D172" s="9">
        <v>45658</v>
      </c>
      <c r="E172" s="9"/>
      <c r="F172" t="s">
        <v>69</v>
      </c>
      <c r="G172" t="s">
        <v>70</v>
      </c>
      <c r="H172">
        <v>2341986000000</v>
      </c>
      <c r="I172" t="s">
        <v>239</v>
      </c>
      <c r="J172" s="1">
        <v>153890</v>
      </c>
      <c r="K172">
        <v>6.6666666666666599</v>
      </c>
      <c r="L172" s="1">
        <v>23083.5</v>
      </c>
      <c r="M172" s="1"/>
      <c r="N172" s="1"/>
      <c r="O172" s="1"/>
      <c r="P172">
        <v>330591268</v>
      </c>
    </row>
    <row r="173" spans="1:16" x14ac:dyDescent="0.35">
      <c r="A173">
        <v>2025</v>
      </c>
      <c r="B173">
        <v>6</v>
      </c>
      <c r="C173">
        <v>172</v>
      </c>
      <c r="D173" s="9">
        <v>45658</v>
      </c>
      <c r="E173" s="9"/>
      <c r="F173" t="s">
        <v>69</v>
      </c>
      <c r="G173" t="s">
        <v>70</v>
      </c>
      <c r="H173">
        <v>2342800900000</v>
      </c>
      <c r="I173" t="s">
        <v>240</v>
      </c>
      <c r="J173" s="1">
        <v>177454</v>
      </c>
      <c r="K173">
        <v>6.6666666666666599</v>
      </c>
      <c r="L173" s="1">
        <v>26618.1</v>
      </c>
      <c r="M173" s="1"/>
      <c r="N173" s="1"/>
      <c r="O173" s="1"/>
      <c r="P173">
        <v>330666037</v>
      </c>
    </row>
    <row r="174" spans="1:16" x14ac:dyDescent="0.35">
      <c r="A174">
        <v>2025</v>
      </c>
      <c r="B174">
        <v>6</v>
      </c>
      <c r="C174">
        <v>173</v>
      </c>
      <c r="D174" s="9">
        <v>45689</v>
      </c>
      <c r="E174" s="9"/>
      <c r="F174" t="s">
        <v>69</v>
      </c>
      <c r="G174" t="s">
        <v>235</v>
      </c>
      <c r="H174">
        <v>2342894600000</v>
      </c>
      <c r="I174" t="s">
        <v>241</v>
      </c>
      <c r="J174" s="1">
        <v>182971</v>
      </c>
      <c r="K174">
        <v>4</v>
      </c>
      <c r="L174" s="1">
        <v>45742.75</v>
      </c>
      <c r="M174" s="1"/>
      <c r="N174" s="1"/>
      <c r="O174" s="1"/>
      <c r="P174">
        <v>332132921</v>
      </c>
    </row>
    <row r="175" spans="1:16" x14ac:dyDescent="0.35">
      <c r="A175">
        <v>2025</v>
      </c>
      <c r="B175">
        <v>6</v>
      </c>
      <c r="C175">
        <v>174</v>
      </c>
      <c r="D175" s="9">
        <v>45658</v>
      </c>
      <c r="E175" s="9"/>
      <c r="F175" t="s">
        <v>69</v>
      </c>
      <c r="G175" t="s">
        <v>70</v>
      </c>
      <c r="H175">
        <v>2343106300000</v>
      </c>
      <c r="I175" t="s">
        <v>242</v>
      </c>
      <c r="J175" s="1">
        <v>308142</v>
      </c>
      <c r="K175">
        <v>6.6666666666666599</v>
      </c>
      <c r="L175" s="1">
        <v>46221.3</v>
      </c>
      <c r="M175" s="1"/>
      <c r="N175" s="1"/>
      <c r="O175" s="1"/>
      <c r="P175">
        <v>330669403</v>
      </c>
    </row>
    <row r="176" spans="1:16" x14ac:dyDescent="0.35">
      <c r="A176">
        <v>2025</v>
      </c>
      <c r="B176">
        <v>6</v>
      </c>
      <c r="C176">
        <v>175</v>
      </c>
      <c r="D176" s="9">
        <v>45689</v>
      </c>
      <c r="E176" s="9"/>
      <c r="F176" t="s">
        <v>69</v>
      </c>
      <c r="G176" t="s">
        <v>70</v>
      </c>
      <c r="H176">
        <v>2343191900000</v>
      </c>
      <c r="I176" t="s">
        <v>206</v>
      </c>
      <c r="J176" s="1">
        <v>128216</v>
      </c>
      <c r="K176">
        <v>6.6666666666666599</v>
      </c>
      <c r="L176" s="1">
        <v>19232.400000000001</v>
      </c>
      <c r="M176" s="1"/>
      <c r="N176" s="1"/>
      <c r="O176" s="1"/>
      <c r="P176">
        <v>332137193</v>
      </c>
    </row>
    <row r="177" spans="1:16" x14ac:dyDescent="0.35">
      <c r="A177">
        <v>2025</v>
      </c>
      <c r="B177">
        <v>6</v>
      </c>
      <c r="C177">
        <v>176</v>
      </c>
      <c r="D177" s="9">
        <v>45658</v>
      </c>
      <c r="E177" s="9"/>
      <c r="F177" t="s">
        <v>69</v>
      </c>
      <c r="G177" t="s">
        <v>70</v>
      </c>
      <c r="H177">
        <v>2343223800000</v>
      </c>
      <c r="I177" t="s">
        <v>243</v>
      </c>
      <c r="J177" s="1">
        <v>321758</v>
      </c>
      <c r="K177">
        <v>6.6666666666666599</v>
      </c>
      <c r="L177" s="1">
        <v>48263.7</v>
      </c>
      <c r="M177" s="1"/>
      <c r="N177" s="1"/>
      <c r="O177" s="1"/>
      <c r="P177">
        <v>330671318</v>
      </c>
    </row>
    <row r="178" spans="1:16" x14ac:dyDescent="0.35">
      <c r="A178">
        <v>2025</v>
      </c>
      <c r="B178">
        <v>6</v>
      </c>
      <c r="C178">
        <v>177</v>
      </c>
      <c r="D178" s="9">
        <v>45689</v>
      </c>
      <c r="E178" s="9"/>
      <c r="F178" t="s">
        <v>69</v>
      </c>
      <c r="G178" t="s">
        <v>70</v>
      </c>
      <c r="H178">
        <v>2343355700000</v>
      </c>
      <c r="I178" t="s">
        <v>244</v>
      </c>
      <c r="J178" s="1">
        <v>239171</v>
      </c>
      <c r="K178">
        <v>6.6666666666666599</v>
      </c>
      <c r="L178" s="1">
        <v>35875.65</v>
      </c>
      <c r="M178" s="1"/>
      <c r="N178" s="1"/>
      <c r="O178" s="1"/>
      <c r="P178">
        <v>332140122</v>
      </c>
    </row>
    <row r="179" spans="1:16" x14ac:dyDescent="0.35">
      <c r="A179">
        <v>2025</v>
      </c>
      <c r="B179">
        <v>6</v>
      </c>
      <c r="C179">
        <v>178</v>
      </c>
      <c r="D179" s="9">
        <v>45658</v>
      </c>
      <c r="E179" s="9"/>
      <c r="F179" t="s">
        <v>69</v>
      </c>
      <c r="G179" t="s">
        <v>70</v>
      </c>
      <c r="H179">
        <v>2343586700000</v>
      </c>
      <c r="I179" t="s">
        <v>103</v>
      </c>
      <c r="J179" s="1">
        <v>170837</v>
      </c>
      <c r="K179">
        <v>6.6666666666666599</v>
      </c>
      <c r="L179" s="1">
        <v>25625.55</v>
      </c>
      <c r="M179" s="1"/>
      <c r="N179" s="1"/>
      <c r="O179" s="1"/>
      <c r="P179">
        <v>330676846</v>
      </c>
    </row>
    <row r="180" spans="1:16" x14ac:dyDescent="0.35">
      <c r="A180">
        <v>2025</v>
      </c>
      <c r="B180">
        <v>6</v>
      </c>
      <c r="C180">
        <v>179</v>
      </c>
      <c r="D180" s="9">
        <v>45658</v>
      </c>
      <c r="E180" s="9"/>
      <c r="F180" t="s">
        <v>69</v>
      </c>
      <c r="G180" t="s">
        <v>70</v>
      </c>
      <c r="H180">
        <v>2344144600000</v>
      </c>
      <c r="I180" t="s">
        <v>245</v>
      </c>
      <c r="J180" s="1">
        <v>285132</v>
      </c>
      <c r="K180">
        <v>6.6666666666666599</v>
      </c>
      <c r="L180" s="1">
        <v>42769.8</v>
      </c>
      <c r="M180" s="1"/>
      <c r="N180" s="1"/>
      <c r="O180" s="1"/>
      <c r="P180">
        <v>330698154</v>
      </c>
    </row>
    <row r="181" spans="1:16" x14ac:dyDescent="0.35">
      <c r="A181">
        <v>2025</v>
      </c>
      <c r="B181">
        <v>6</v>
      </c>
      <c r="C181">
        <v>180</v>
      </c>
      <c r="D181" s="9">
        <v>45658</v>
      </c>
      <c r="E181" s="9"/>
      <c r="F181" t="s">
        <v>69</v>
      </c>
      <c r="G181" t="s">
        <v>70</v>
      </c>
      <c r="H181">
        <v>2344668000000</v>
      </c>
      <c r="I181" t="s">
        <v>246</v>
      </c>
      <c r="J181" s="1">
        <v>1363213</v>
      </c>
      <c r="K181">
        <v>6.6666666666666599</v>
      </c>
      <c r="L181" s="1">
        <v>204481.95</v>
      </c>
      <c r="M181" s="1"/>
      <c r="N181" s="1"/>
      <c r="O181" s="1"/>
      <c r="P181">
        <v>330727003</v>
      </c>
    </row>
    <row r="182" spans="1:16" x14ac:dyDescent="0.35">
      <c r="A182">
        <v>2025</v>
      </c>
      <c r="B182">
        <v>6</v>
      </c>
      <c r="C182">
        <v>181</v>
      </c>
      <c r="D182" s="9">
        <v>45658</v>
      </c>
      <c r="E182" s="9"/>
      <c r="F182" t="s">
        <v>69</v>
      </c>
      <c r="G182" t="s">
        <v>70</v>
      </c>
      <c r="H182">
        <v>2344860400000</v>
      </c>
      <c r="I182" t="s">
        <v>247</v>
      </c>
      <c r="J182" s="1">
        <v>640733</v>
      </c>
      <c r="K182">
        <v>6.6666666666666599</v>
      </c>
      <c r="L182" s="1">
        <v>96109.95</v>
      </c>
      <c r="M182" s="1"/>
      <c r="N182" s="1"/>
      <c r="O182" s="1"/>
      <c r="P182">
        <v>330765854</v>
      </c>
    </row>
    <row r="183" spans="1:16" x14ac:dyDescent="0.35">
      <c r="A183">
        <v>2025</v>
      </c>
      <c r="B183">
        <v>6</v>
      </c>
      <c r="C183">
        <v>182</v>
      </c>
      <c r="D183" s="9">
        <v>45689</v>
      </c>
      <c r="E183" s="9"/>
      <c r="F183" t="s">
        <v>69</v>
      </c>
      <c r="G183" t="s">
        <v>70</v>
      </c>
      <c r="H183">
        <v>2344867400000</v>
      </c>
      <c r="I183" t="s">
        <v>248</v>
      </c>
      <c r="J183" s="1">
        <v>226633</v>
      </c>
      <c r="K183">
        <v>6.6666666666666599</v>
      </c>
      <c r="L183" s="1">
        <v>33994.949999999997</v>
      </c>
      <c r="M183" s="1"/>
      <c r="N183" s="1"/>
      <c r="O183" s="1"/>
      <c r="P183">
        <v>332231210</v>
      </c>
    </row>
    <row r="184" spans="1:16" x14ac:dyDescent="0.35">
      <c r="A184">
        <v>2025</v>
      </c>
      <c r="B184">
        <v>6</v>
      </c>
      <c r="C184">
        <v>183</v>
      </c>
      <c r="D184" s="9">
        <v>45689</v>
      </c>
      <c r="E184" s="9"/>
      <c r="F184" t="s">
        <v>69</v>
      </c>
      <c r="G184" t="s">
        <v>70</v>
      </c>
      <c r="H184">
        <v>2344875400000</v>
      </c>
      <c r="I184" t="s">
        <v>249</v>
      </c>
      <c r="J184" s="1">
        <v>250232</v>
      </c>
      <c r="K184">
        <v>6.6666666666666599</v>
      </c>
      <c r="L184" s="1">
        <v>37534.800000000003</v>
      </c>
      <c r="M184" s="1"/>
      <c r="N184" s="1"/>
      <c r="O184" s="1"/>
      <c r="P184">
        <v>332231277</v>
      </c>
    </row>
    <row r="185" spans="1:16" x14ac:dyDescent="0.35">
      <c r="A185">
        <v>2025</v>
      </c>
      <c r="B185">
        <v>6</v>
      </c>
      <c r="C185">
        <v>184</v>
      </c>
      <c r="D185" s="9">
        <v>45658</v>
      </c>
      <c r="E185" s="9"/>
      <c r="F185" t="s">
        <v>69</v>
      </c>
      <c r="G185" t="s">
        <v>70</v>
      </c>
      <c r="H185">
        <v>2345076400000</v>
      </c>
      <c r="I185" t="s">
        <v>250</v>
      </c>
      <c r="J185" s="1">
        <v>353035</v>
      </c>
      <c r="K185">
        <v>6.6666666666666599</v>
      </c>
      <c r="L185" s="1">
        <v>52955.25</v>
      </c>
      <c r="M185" s="1"/>
      <c r="N185" s="1"/>
      <c r="O185" s="1"/>
      <c r="P185">
        <v>330777974</v>
      </c>
    </row>
    <row r="186" spans="1:16" x14ac:dyDescent="0.35">
      <c r="A186">
        <v>2025</v>
      </c>
      <c r="B186">
        <v>6</v>
      </c>
      <c r="C186">
        <v>185</v>
      </c>
      <c r="D186" s="9">
        <v>45658</v>
      </c>
      <c r="E186" s="9"/>
      <c r="F186" t="s">
        <v>69</v>
      </c>
      <c r="G186" t="s">
        <v>70</v>
      </c>
      <c r="H186">
        <v>2345083300000</v>
      </c>
      <c r="I186" t="s">
        <v>251</v>
      </c>
      <c r="J186" s="1">
        <v>472064</v>
      </c>
      <c r="K186">
        <v>6.6666666666666599</v>
      </c>
      <c r="L186" s="1">
        <v>70809.600000000006</v>
      </c>
      <c r="M186" s="1"/>
      <c r="N186" s="1"/>
      <c r="O186" s="1"/>
      <c r="P186">
        <v>330778196</v>
      </c>
    </row>
    <row r="187" spans="1:16" x14ac:dyDescent="0.35">
      <c r="A187">
        <v>2025</v>
      </c>
      <c r="B187">
        <v>6</v>
      </c>
      <c r="C187">
        <v>186</v>
      </c>
      <c r="D187" s="9">
        <v>45658</v>
      </c>
      <c r="E187" s="9"/>
      <c r="F187" t="s">
        <v>69</v>
      </c>
      <c r="G187" t="s">
        <v>70</v>
      </c>
      <c r="H187">
        <v>2345121800000</v>
      </c>
      <c r="I187" t="s">
        <v>252</v>
      </c>
      <c r="J187" s="1">
        <v>100266</v>
      </c>
      <c r="K187">
        <v>6.6666666666666599</v>
      </c>
      <c r="L187" s="1">
        <v>15039.9</v>
      </c>
      <c r="M187" s="1"/>
      <c r="N187" s="1"/>
      <c r="O187" s="1"/>
      <c r="P187">
        <v>330778402</v>
      </c>
    </row>
    <row r="188" spans="1:16" x14ac:dyDescent="0.35">
      <c r="A188">
        <v>2025</v>
      </c>
      <c r="B188">
        <v>6</v>
      </c>
      <c r="C188">
        <v>187</v>
      </c>
      <c r="D188" s="9">
        <v>45658</v>
      </c>
      <c r="E188" s="9"/>
      <c r="F188" t="s">
        <v>69</v>
      </c>
      <c r="G188" t="s">
        <v>70</v>
      </c>
      <c r="H188">
        <v>2345291400000</v>
      </c>
      <c r="I188" t="s">
        <v>253</v>
      </c>
      <c r="J188" s="1">
        <v>179115</v>
      </c>
      <c r="K188">
        <v>6.6666666666666599</v>
      </c>
      <c r="L188" s="1">
        <v>26867.25</v>
      </c>
      <c r="M188" s="1"/>
      <c r="N188" s="1"/>
      <c r="O188" s="1"/>
      <c r="P188">
        <v>330780929</v>
      </c>
    </row>
    <row r="189" spans="1:16" x14ac:dyDescent="0.35">
      <c r="A189">
        <v>2025</v>
      </c>
      <c r="B189">
        <v>6</v>
      </c>
      <c r="C189">
        <v>188</v>
      </c>
      <c r="D189" s="9">
        <v>45627</v>
      </c>
      <c r="E189" s="9"/>
      <c r="F189" t="s">
        <v>69</v>
      </c>
      <c r="G189" t="s">
        <v>70</v>
      </c>
      <c r="H189">
        <v>2345342100000</v>
      </c>
      <c r="I189" t="s">
        <v>254</v>
      </c>
      <c r="J189" s="1">
        <v>254125</v>
      </c>
      <c r="K189">
        <v>6.6666666666666599</v>
      </c>
      <c r="L189" s="1">
        <v>38118.75</v>
      </c>
      <c r="M189" s="1"/>
      <c r="N189" s="1"/>
      <c r="O189" s="1"/>
      <c r="P189">
        <v>329484087</v>
      </c>
    </row>
    <row r="190" spans="1:16" x14ac:dyDescent="0.35">
      <c r="A190">
        <v>2025</v>
      </c>
      <c r="B190">
        <v>6</v>
      </c>
      <c r="C190">
        <v>189</v>
      </c>
      <c r="D190" s="9">
        <v>45658</v>
      </c>
      <c r="E190" s="9"/>
      <c r="F190" t="s">
        <v>69</v>
      </c>
      <c r="G190" t="s">
        <v>70</v>
      </c>
      <c r="H190">
        <v>2345342100000</v>
      </c>
      <c r="I190" t="s">
        <v>254</v>
      </c>
      <c r="J190" s="1">
        <v>254125</v>
      </c>
      <c r="K190">
        <v>6.6666666666666599</v>
      </c>
      <c r="L190" s="1">
        <v>38118.75</v>
      </c>
      <c r="M190" s="1"/>
      <c r="N190" s="1"/>
      <c r="O190" s="1"/>
      <c r="P190">
        <v>330781372</v>
      </c>
    </row>
    <row r="191" spans="1:16" x14ac:dyDescent="0.35">
      <c r="A191">
        <v>2025</v>
      </c>
      <c r="B191">
        <v>6</v>
      </c>
      <c r="C191">
        <v>190</v>
      </c>
      <c r="D191" s="9">
        <v>45658</v>
      </c>
      <c r="E191" s="9"/>
      <c r="F191" t="s">
        <v>69</v>
      </c>
      <c r="G191" t="s">
        <v>70</v>
      </c>
      <c r="H191">
        <v>2345466700000</v>
      </c>
      <c r="I191" t="s">
        <v>255</v>
      </c>
      <c r="J191" s="1">
        <v>257577</v>
      </c>
      <c r="K191">
        <v>6.6666666666666599</v>
      </c>
      <c r="L191" s="1">
        <v>38636.550000000003</v>
      </c>
      <c r="M191" s="1"/>
      <c r="N191" s="1"/>
      <c r="O191" s="1"/>
      <c r="P191">
        <v>330784194</v>
      </c>
    </row>
    <row r="192" spans="1:16" x14ac:dyDescent="0.35">
      <c r="A192">
        <v>2025</v>
      </c>
      <c r="B192">
        <v>6</v>
      </c>
      <c r="C192">
        <v>191</v>
      </c>
      <c r="D192" s="9">
        <v>45658</v>
      </c>
      <c r="E192" s="9"/>
      <c r="F192" t="s">
        <v>69</v>
      </c>
      <c r="G192" t="s">
        <v>70</v>
      </c>
      <c r="H192">
        <v>2345991000000</v>
      </c>
      <c r="I192" t="s">
        <v>256</v>
      </c>
      <c r="J192" s="1">
        <v>164180</v>
      </c>
      <c r="K192">
        <v>6.6666666666666599</v>
      </c>
      <c r="L192" s="1">
        <v>24627</v>
      </c>
      <c r="M192" s="1"/>
      <c r="N192" s="1"/>
      <c r="O192" s="1"/>
      <c r="P192">
        <v>330799614</v>
      </c>
    </row>
    <row r="193" spans="1:16" x14ac:dyDescent="0.35">
      <c r="A193">
        <v>2025</v>
      </c>
      <c r="B193">
        <v>6</v>
      </c>
      <c r="C193">
        <v>192</v>
      </c>
      <c r="D193" s="9">
        <v>45658</v>
      </c>
      <c r="E193" s="9"/>
      <c r="F193" t="s">
        <v>69</v>
      </c>
      <c r="G193" t="s">
        <v>70</v>
      </c>
      <c r="H193">
        <v>2346036300000</v>
      </c>
      <c r="I193" t="s">
        <v>257</v>
      </c>
      <c r="J193" s="1">
        <v>293980</v>
      </c>
      <c r="K193">
        <v>6.6666666666666599</v>
      </c>
      <c r="L193" s="1">
        <v>44097</v>
      </c>
      <c r="M193" s="1"/>
      <c r="N193" s="1"/>
      <c r="O193" s="1"/>
      <c r="P193">
        <v>330811591</v>
      </c>
    </row>
    <row r="194" spans="1:16" x14ac:dyDescent="0.35">
      <c r="A194">
        <v>2025</v>
      </c>
      <c r="B194">
        <v>6</v>
      </c>
      <c r="C194">
        <v>193</v>
      </c>
      <c r="D194" s="9">
        <v>45658</v>
      </c>
      <c r="E194" s="9"/>
      <c r="F194" t="s">
        <v>69</v>
      </c>
      <c r="G194" t="s">
        <v>70</v>
      </c>
      <c r="H194">
        <v>2346086300000</v>
      </c>
      <c r="I194" t="s">
        <v>258</v>
      </c>
      <c r="J194" s="1">
        <v>767606</v>
      </c>
      <c r="K194">
        <v>6.6666666666666599</v>
      </c>
      <c r="L194" s="1">
        <v>115140.9</v>
      </c>
      <c r="M194" s="1"/>
      <c r="N194" s="1"/>
      <c r="O194" s="1"/>
      <c r="P194">
        <v>330812201</v>
      </c>
    </row>
    <row r="195" spans="1:16" x14ac:dyDescent="0.35">
      <c r="A195">
        <v>2025</v>
      </c>
      <c r="B195">
        <v>6</v>
      </c>
      <c r="C195">
        <v>194</v>
      </c>
      <c r="D195" s="9">
        <v>45689</v>
      </c>
      <c r="E195" s="9"/>
      <c r="F195" t="s">
        <v>69</v>
      </c>
      <c r="G195" t="s">
        <v>70</v>
      </c>
      <c r="H195">
        <v>2346254600000</v>
      </c>
      <c r="I195" t="s">
        <v>259</v>
      </c>
      <c r="J195" s="1">
        <v>325032</v>
      </c>
      <c r="K195">
        <v>6.6666666666666599</v>
      </c>
      <c r="L195" s="1">
        <v>48754.8</v>
      </c>
      <c r="M195" s="1"/>
      <c r="N195" s="1"/>
      <c r="O195" s="1"/>
      <c r="P195">
        <v>332277346</v>
      </c>
    </row>
    <row r="196" spans="1:16" x14ac:dyDescent="0.35">
      <c r="A196">
        <v>2025</v>
      </c>
      <c r="B196">
        <v>6</v>
      </c>
      <c r="C196">
        <v>195</v>
      </c>
      <c r="D196" s="9">
        <v>45717</v>
      </c>
      <c r="E196" s="9"/>
      <c r="F196" t="s">
        <v>69</v>
      </c>
      <c r="G196" t="s">
        <v>70</v>
      </c>
      <c r="H196">
        <v>2346819300000</v>
      </c>
      <c r="I196" t="s">
        <v>260</v>
      </c>
      <c r="J196" s="1">
        <v>259077</v>
      </c>
      <c r="K196">
        <v>6.6666666666666599</v>
      </c>
      <c r="L196" s="1">
        <v>38861.550000000003</v>
      </c>
      <c r="M196" s="1"/>
      <c r="N196" s="1"/>
      <c r="O196" s="1"/>
      <c r="P196">
        <v>334081738</v>
      </c>
    </row>
    <row r="197" spans="1:16" x14ac:dyDescent="0.35">
      <c r="A197">
        <v>2025</v>
      </c>
      <c r="B197">
        <v>6</v>
      </c>
      <c r="C197">
        <v>196</v>
      </c>
      <c r="D197" s="9">
        <v>45689</v>
      </c>
      <c r="E197" s="9"/>
      <c r="F197" t="s">
        <v>69</v>
      </c>
      <c r="G197" t="s">
        <v>70</v>
      </c>
      <c r="H197">
        <v>2346917400000</v>
      </c>
      <c r="I197" t="s">
        <v>261</v>
      </c>
      <c r="J197" s="1">
        <v>265734</v>
      </c>
      <c r="K197">
        <v>6.6666666666666599</v>
      </c>
      <c r="L197" s="1">
        <v>39860.1</v>
      </c>
      <c r="M197" s="1"/>
      <c r="N197" s="1"/>
      <c r="O197" s="1"/>
      <c r="P197">
        <v>332288681</v>
      </c>
    </row>
    <row r="198" spans="1:16" x14ac:dyDescent="0.35">
      <c r="A198">
        <v>2025</v>
      </c>
      <c r="B198">
        <v>6</v>
      </c>
      <c r="C198">
        <v>197</v>
      </c>
      <c r="D198" s="9">
        <v>45689</v>
      </c>
      <c r="E198" s="9"/>
      <c r="F198" t="s">
        <v>69</v>
      </c>
      <c r="G198" t="s">
        <v>70</v>
      </c>
      <c r="H198">
        <v>2346973400000</v>
      </c>
      <c r="I198" t="s">
        <v>262</v>
      </c>
      <c r="J198" s="1">
        <v>197105</v>
      </c>
      <c r="K198">
        <v>6.6666666666666599</v>
      </c>
      <c r="L198" s="1">
        <v>29565.75</v>
      </c>
      <c r="M198" s="1"/>
      <c r="N198" s="1"/>
      <c r="O198" s="1"/>
      <c r="P198">
        <v>332289218</v>
      </c>
    </row>
    <row r="199" spans="1:16" x14ac:dyDescent="0.35">
      <c r="A199">
        <v>2025</v>
      </c>
      <c r="B199">
        <v>6</v>
      </c>
      <c r="C199">
        <v>198</v>
      </c>
      <c r="D199" s="9">
        <v>45689</v>
      </c>
      <c r="E199" s="9"/>
      <c r="F199" t="s">
        <v>69</v>
      </c>
      <c r="G199" t="s">
        <v>70</v>
      </c>
      <c r="H199">
        <v>2347044700000</v>
      </c>
      <c r="I199" t="s">
        <v>263</v>
      </c>
      <c r="J199" s="1">
        <v>380669</v>
      </c>
      <c r="K199">
        <v>6.6666666666666599</v>
      </c>
      <c r="L199" s="1">
        <v>57100.35</v>
      </c>
      <c r="M199" s="1"/>
      <c r="N199" s="1"/>
      <c r="O199" s="1"/>
      <c r="P199">
        <v>332293442</v>
      </c>
    </row>
    <row r="200" spans="1:16" x14ac:dyDescent="0.35">
      <c r="A200">
        <v>2025</v>
      </c>
      <c r="B200">
        <v>6</v>
      </c>
      <c r="C200">
        <v>199</v>
      </c>
      <c r="D200" s="9">
        <v>45689</v>
      </c>
      <c r="E200" s="9"/>
      <c r="F200" t="s">
        <v>69</v>
      </c>
      <c r="G200" t="s">
        <v>70</v>
      </c>
      <c r="H200">
        <v>2347536400000</v>
      </c>
      <c r="I200" t="s">
        <v>264</v>
      </c>
      <c r="J200" s="1">
        <v>236685</v>
      </c>
      <c r="K200">
        <v>6.6666666666666599</v>
      </c>
      <c r="L200" s="1">
        <v>35502.75</v>
      </c>
      <c r="M200" s="1"/>
      <c r="N200" s="1"/>
      <c r="O200" s="1"/>
      <c r="P200">
        <v>332306491</v>
      </c>
    </row>
    <row r="201" spans="1:16" x14ac:dyDescent="0.35">
      <c r="A201">
        <v>2025</v>
      </c>
      <c r="B201">
        <v>6</v>
      </c>
      <c r="C201">
        <v>200</v>
      </c>
      <c r="D201" s="9">
        <v>45658</v>
      </c>
      <c r="E201" s="9"/>
      <c r="F201" t="s">
        <v>69</v>
      </c>
      <c r="G201" t="s">
        <v>70</v>
      </c>
      <c r="H201">
        <v>2347718100000</v>
      </c>
      <c r="I201" t="s">
        <v>265</v>
      </c>
      <c r="J201" s="1">
        <v>244504</v>
      </c>
      <c r="K201">
        <v>6.6666666666666599</v>
      </c>
      <c r="L201" s="1">
        <v>36675.599999999999</v>
      </c>
      <c r="M201" s="1"/>
      <c r="N201" s="1"/>
      <c r="O201" s="1"/>
      <c r="P201">
        <v>330856380</v>
      </c>
    </row>
    <row r="202" spans="1:16" x14ac:dyDescent="0.35">
      <c r="A202">
        <v>2025</v>
      </c>
      <c r="B202">
        <v>6</v>
      </c>
      <c r="C202">
        <v>201</v>
      </c>
      <c r="D202" s="9">
        <v>45658</v>
      </c>
      <c r="E202" s="9"/>
      <c r="F202" t="s">
        <v>69</v>
      </c>
      <c r="G202" t="s">
        <v>70</v>
      </c>
      <c r="H202">
        <v>2347734400000</v>
      </c>
      <c r="I202" t="s">
        <v>266</v>
      </c>
      <c r="J202" s="1">
        <v>592104</v>
      </c>
      <c r="K202">
        <v>6.6666666666666599</v>
      </c>
      <c r="L202" s="1">
        <v>88815.6</v>
      </c>
      <c r="M202" s="1"/>
      <c r="N202" s="1"/>
      <c r="O202" s="1"/>
      <c r="P202">
        <v>330856612</v>
      </c>
    </row>
    <row r="203" spans="1:16" x14ac:dyDescent="0.35">
      <c r="A203">
        <v>2025</v>
      </c>
      <c r="B203">
        <v>6</v>
      </c>
      <c r="C203">
        <v>202</v>
      </c>
      <c r="D203" s="9">
        <v>45658</v>
      </c>
      <c r="E203" s="9"/>
      <c r="F203" t="s">
        <v>69</v>
      </c>
      <c r="G203" t="s">
        <v>70</v>
      </c>
      <c r="H203">
        <v>2348044900000</v>
      </c>
      <c r="I203" t="s">
        <v>189</v>
      </c>
      <c r="J203" s="1">
        <v>224921</v>
      </c>
      <c r="K203">
        <v>6.6666666666666599</v>
      </c>
      <c r="L203" s="1">
        <v>33738.15</v>
      </c>
      <c r="M203" s="1"/>
      <c r="N203" s="1"/>
      <c r="O203" s="1"/>
      <c r="P203">
        <v>330861448</v>
      </c>
    </row>
    <row r="204" spans="1:16" x14ac:dyDescent="0.35">
      <c r="A204">
        <v>2025</v>
      </c>
      <c r="B204">
        <v>6</v>
      </c>
      <c r="C204">
        <v>203</v>
      </c>
      <c r="D204" s="9">
        <v>45689</v>
      </c>
      <c r="E204" s="9"/>
      <c r="F204" t="s">
        <v>69</v>
      </c>
      <c r="G204" t="s">
        <v>70</v>
      </c>
      <c r="H204">
        <v>2348553200000</v>
      </c>
      <c r="I204" t="s">
        <v>267</v>
      </c>
      <c r="J204" s="1">
        <v>191180</v>
      </c>
      <c r="K204">
        <v>6.6666666666666599</v>
      </c>
      <c r="L204" s="1">
        <v>28677</v>
      </c>
      <c r="M204" s="1"/>
      <c r="N204" s="1"/>
      <c r="O204" s="1"/>
      <c r="P204">
        <v>332333313</v>
      </c>
    </row>
    <row r="205" spans="1:16" x14ac:dyDescent="0.35">
      <c r="A205">
        <v>2025</v>
      </c>
      <c r="B205">
        <v>6</v>
      </c>
      <c r="C205">
        <v>204</v>
      </c>
      <c r="D205" s="9">
        <v>45658</v>
      </c>
      <c r="E205" s="9"/>
      <c r="F205" t="s">
        <v>69</v>
      </c>
      <c r="G205" t="s">
        <v>88</v>
      </c>
      <c r="H205">
        <v>2348608300000</v>
      </c>
      <c r="I205" t="s">
        <v>94</v>
      </c>
      <c r="J205" s="1">
        <v>479783</v>
      </c>
      <c r="K205">
        <v>10</v>
      </c>
      <c r="L205" s="1">
        <v>47978.3</v>
      </c>
      <c r="M205" s="1"/>
      <c r="N205" s="1"/>
      <c r="O205" s="1"/>
      <c r="P205">
        <v>330877253</v>
      </c>
    </row>
    <row r="206" spans="1:16" x14ac:dyDescent="0.35">
      <c r="A206">
        <v>2025</v>
      </c>
      <c r="B206">
        <v>6</v>
      </c>
      <c r="C206">
        <v>205</v>
      </c>
      <c r="D206" s="9">
        <v>45658</v>
      </c>
      <c r="E206" s="9"/>
      <c r="F206" t="s">
        <v>69</v>
      </c>
      <c r="G206" t="s">
        <v>70</v>
      </c>
      <c r="H206">
        <v>2348637200000</v>
      </c>
      <c r="I206" t="s">
        <v>268</v>
      </c>
      <c r="J206" s="1">
        <v>206288</v>
      </c>
      <c r="K206">
        <v>6.6666666666666599</v>
      </c>
      <c r="L206" s="1">
        <v>30943.200000000001</v>
      </c>
      <c r="M206" s="1"/>
      <c r="N206" s="1"/>
      <c r="O206" s="1"/>
      <c r="P206">
        <v>330877980</v>
      </c>
    </row>
    <row r="207" spans="1:16" x14ac:dyDescent="0.35">
      <c r="A207">
        <v>2025</v>
      </c>
      <c r="B207">
        <v>6</v>
      </c>
      <c r="C207">
        <v>206</v>
      </c>
      <c r="D207" s="9">
        <v>45689</v>
      </c>
      <c r="E207" s="9"/>
      <c r="F207" t="s">
        <v>69</v>
      </c>
      <c r="G207" t="s">
        <v>70</v>
      </c>
      <c r="H207">
        <v>2348849900000</v>
      </c>
      <c r="I207" t="s">
        <v>269</v>
      </c>
      <c r="J207" s="1">
        <v>296553</v>
      </c>
      <c r="K207">
        <v>6.6666666666666599</v>
      </c>
      <c r="L207" s="1">
        <v>44482.95</v>
      </c>
      <c r="M207" s="1"/>
      <c r="N207" s="1"/>
      <c r="O207" s="1"/>
      <c r="P207">
        <v>332339898</v>
      </c>
    </row>
    <row r="208" spans="1:16" x14ac:dyDescent="0.35">
      <c r="A208">
        <v>2025</v>
      </c>
      <c r="B208">
        <v>6</v>
      </c>
      <c r="C208">
        <v>207</v>
      </c>
      <c r="D208" s="9">
        <v>45689</v>
      </c>
      <c r="E208" s="9"/>
      <c r="F208" t="s">
        <v>69</v>
      </c>
      <c r="G208" t="s">
        <v>70</v>
      </c>
      <c r="H208">
        <v>2348886100000</v>
      </c>
      <c r="I208" t="s">
        <v>270</v>
      </c>
      <c r="J208" s="1">
        <v>439860</v>
      </c>
      <c r="K208">
        <v>6.6666666666666599</v>
      </c>
      <c r="L208" s="1">
        <v>65979</v>
      </c>
      <c r="M208" s="1"/>
      <c r="N208" s="1"/>
      <c r="O208" s="1"/>
      <c r="P208">
        <v>332340235</v>
      </c>
    </row>
    <row r="209" spans="1:16" x14ac:dyDescent="0.35">
      <c r="A209">
        <v>2025</v>
      </c>
      <c r="B209">
        <v>6</v>
      </c>
      <c r="C209">
        <v>208</v>
      </c>
      <c r="D209" s="9">
        <v>45658</v>
      </c>
      <c r="E209" s="9"/>
      <c r="F209" t="s">
        <v>69</v>
      </c>
      <c r="G209" t="s">
        <v>70</v>
      </c>
      <c r="H209">
        <v>2348900300000</v>
      </c>
      <c r="I209" t="s">
        <v>271</v>
      </c>
      <c r="J209" s="1">
        <v>292259</v>
      </c>
      <c r="K209">
        <v>6.6666666666666599</v>
      </c>
      <c r="L209" s="1">
        <v>43838.85</v>
      </c>
      <c r="M209" s="1"/>
      <c r="N209" s="1"/>
      <c r="O209" s="1"/>
      <c r="P209">
        <v>330883822</v>
      </c>
    </row>
    <row r="210" spans="1:16" x14ac:dyDescent="0.35">
      <c r="A210">
        <v>2025</v>
      </c>
      <c r="B210">
        <v>6</v>
      </c>
      <c r="C210">
        <v>209</v>
      </c>
      <c r="D210" s="9">
        <v>45689</v>
      </c>
      <c r="E210" s="9"/>
      <c r="F210" t="s">
        <v>69</v>
      </c>
      <c r="G210" t="s">
        <v>70</v>
      </c>
      <c r="H210">
        <v>2348922500000</v>
      </c>
      <c r="I210" t="s">
        <v>272</v>
      </c>
      <c r="J210" s="1">
        <v>352071</v>
      </c>
      <c r="K210">
        <v>6.6666666666666599</v>
      </c>
      <c r="L210" s="1">
        <v>52810.65</v>
      </c>
      <c r="M210" s="1"/>
      <c r="N210" s="1"/>
      <c r="O210" s="1"/>
      <c r="P210">
        <v>332340508</v>
      </c>
    </row>
    <row r="211" spans="1:16" x14ac:dyDescent="0.35">
      <c r="A211">
        <v>2025</v>
      </c>
      <c r="B211">
        <v>6</v>
      </c>
      <c r="C211">
        <v>210</v>
      </c>
      <c r="D211" s="9">
        <v>45658</v>
      </c>
      <c r="E211" s="9"/>
      <c r="F211" t="s">
        <v>69</v>
      </c>
      <c r="G211" t="s">
        <v>70</v>
      </c>
      <c r="H211">
        <v>2349475400000</v>
      </c>
      <c r="I211" t="s">
        <v>273</v>
      </c>
      <c r="J211" s="1">
        <v>376129</v>
      </c>
      <c r="K211">
        <v>6.6666666666666599</v>
      </c>
      <c r="L211" s="1">
        <v>56419.35</v>
      </c>
      <c r="M211" s="1"/>
      <c r="N211" s="1"/>
      <c r="O211" s="1"/>
      <c r="P211">
        <v>330907431</v>
      </c>
    </row>
    <row r="212" spans="1:16" x14ac:dyDescent="0.35">
      <c r="A212">
        <v>2025</v>
      </c>
      <c r="B212">
        <v>6</v>
      </c>
      <c r="C212">
        <v>211</v>
      </c>
      <c r="D212" s="9">
        <v>45658</v>
      </c>
      <c r="E212" s="9"/>
      <c r="F212" t="s">
        <v>69</v>
      </c>
      <c r="G212" t="s">
        <v>70</v>
      </c>
      <c r="H212">
        <v>2349539800000</v>
      </c>
      <c r="I212" t="s">
        <v>274</v>
      </c>
      <c r="J212" s="1">
        <v>163882</v>
      </c>
      <c r="K212">
        <v>6.6666666666666599</v>
      </c>
      <c r="L212" s="1">
        <v>24582.3</v>
      </c>
      <c r="M212" s="1"/>
      <c r="N212" s="1"/>
      <c r="O212" s="1"/>
      <c r="P212">
        <v>330908462</v>
      </c>
    </row>
    <row r="213" spans="1:16" x14ac:dyDescent="0.35">
      <c r="A213">
        <v>2025</v>
      </c>
      <c r="B213">
        <v>6</v>
      </c>
      <c r="C213">
        <v>212</v>
      </c>
      <c r="D213" s="9">
        <v>45658</v>
      </c>
      <c r="E213" s="9"/>
      <c r="F213" t="s">
        <v>69</v>
      </c>
      <c r="G213" t="s">
        <v>70</v>
      </c>
      <c r="H213">
        <v>2349834200000</v>
      </c>
      <c r="I213" t="s">
        <v>275</v>
      </c>
      <c r="J213" s="1">
        <v>342308</v>
      </c>
      <c r="K213">
        <v>6.6666666666666599</v>
      </c>
      <c r="L213" s="1">
        <v>51346.2</v>
      </c>
      <c r="M213" s="1"/>
      <c r="N213" s="1"/>
      <c r="O213" s="1"/>
      <c r="P213">
        <v>330915178</v>
      </c>
    </row>
    <row r="214" spans="1:16" x14ac:dyDescent="0.35">
      <c r="A214">
        <v>2025</v>
      </c>
      <c r="B214">
        <v>6</v>
      </c>
      <c r="C214">
        <v>213</v>
      </c>
      <c r="D214" s="9">
        <v>45658</v>
      </c>
      <c r="E214" s="9"/>
      <c r="F214" t="s">
        <v>69</v>
      </c>
      <c r="G214" t="s">
        <v>235</v>
      </c>
      <c r="H214">
        <v>2349941500000</v>
      </c>
      <c r="I214" t="s">
        <v>276</v>
      </c>
      <c r="J214" s="1">
        <v>326625</v>
      </c>
      <c r="K214">
        <v>4</v>
      </c>
      <c r="L214" s="1">
        <v>81656.25</v>
      </c>
      <c r="M214" s="1"/>
      <c r="N214" s="1"/>
      <c r="O214" s="1"/>
      <c r="P214">
        <v>330916531</v>
      </c>
    </row>
    <row r="215" spans="1:16" x14ac:dyDescent="0.35">
      <c r="A215">
        <v>2025</v>
      </c>
      <c r="B215">
        <v>6</v>
      </c>
      <c r="C215">
        <v>214</v>
      </c>
      <c r="D215" s="9">
        <v>45689</v>
      </c>
      <c r="E215" s="9"/>
      <c r="F215" t="s">
        <v>69</v>
      </c>
      <c r="G215" t="s">
        <v>70</v>
      </c>
      <c r="H215">
        <v>2350091600000</v>
      </c>
      <c r="I215" t="s">
        <v>277</v>
      </c>
      <c r="J215" s="1">
        <v>296736</v>
      </c>
      <c r="K215">
        <v>6.6666666666666599</v>
      </c>
      <c r="L215" s="1">
        <v>44510.400000000001</v>
      </c>
      <c r="M215" s="1"/>
      <c r="N215" s="1"/>
      <c r="O215" s="1"/>
      <c r="P215">
        <v>332377054</v>
      </c>
    </row>
    <row r="216" spans="1:16" x14ac:dyDescent="0.35">
      <c r="A216">
        <v>2025</v>
      </c>
      <c r="B216">
        <v>6</v>
      </c>
      <c r="C216">
        <v>215</v>
      </c>
      <c r="D216" s="9">
        <v>45627</v>
      </c>
      <c r="E216" s="9"/>
      <c r="F216" t="s">
        <v>69</v>
      </c>
      <c r="G216" t="s">
        <v>70</v>
      </c>
      <c r="H216">
        <v>2350236000000</v>
      </c>
      <c r="I216" t="s">
        <v>278</v>
      </c>
      <c r="J216" s="1">
        <v>206929</v>
      </c>
      <c r="K216">
        <v>6.6666666666666599</v>
      </c>
      <c r="L216" s="1">
        <v>31039.35</v>
      </c>
      <c r="M216" s="1"/>
      <c r="N216" s="1"/>
      <c r="O216" s="1"/>
      <c r="P216">
        <v>329623098</v>
      </c>
    </row>
    <row r="217" spans="1:16" x14ac:dyDescent="0.35">
      <c r="A217">
        <v>2025</v>
      </c>
      <c r="B217">
        <v>6</v>
      </c>
      <c r="C217">
        <v>216</v>
      </c>
      <c r="D217" s="9">
        <v>45658</v>
      </c>
      <c r="E217" s="9"/>
      <c r="F217" t="s">
        <v>69</v>
      </c>
      <c r="G217" t="s">
        <v>70</v>
      </c>
      <c r="H217">
        <v>2350487100000</v>
      </c>
      <c r="I217" t="s">
        <v>279</v>
      </c>
      <c r="J217" s="1">
        <v>191062</v>
      </c>
      <c r="K217">
        <v>6.6666666666666599</v>
      </c>
      <c r="L217" s="1">
        <v>28659.3</v>
      </c>
      <c r="M217" s="1"/>
      <c r="N217" s="1"/>
      <c r="O217" s="1"/>
      <c r="P217">
        <v>330938790</v>
      </c>
    </row>
    <row r="218" spans="1:16" x14ac:dyDescent="0.35">
      <c r="A218">
        <v>2025</v>
      </c>
      <c r="B218">
        <v>6</v>
      </c>
      <c r="C218">
        <v>217</v>
      </c>
      <c r="D218" s="9">
        <v>45689</v>
      </c>
      <c r="E218" s="9"/>
      <c r="F218" t="s">
        <v>69</v>
      </c>
      <c r="G218" t="s">
        <v>70</v>
      </c>
      <c r="H218">
        <v>2350534900000</v>
      </c>
      <c r="I218" t="s">
        <v>280</v>
      </c>
      <c r="J218" s="1">
        <v>201404</v>
      </c>
      <c r="K218">
        <v>6.6666666666666599</v>
      </c>
      <c r="L218" s="1">
        <v>30210.6</v>
      </c>
      <c r="M218" s="1"/>
      <c r="N218" s="1"/>
      <c r="O218" s="1"/>
      <c r="P218">
        <v>332394984</v>
      </c>
    </row>
    <row r="219" spans="1:16" x14ac:dyDescent="0.35">
      <c r="A219">
        <v>2025</v>
      </c>
      <c r="B219">
        <v>6</v>
      </c>
      <c r="C219">
        <v>218</v>
      </c>
      <c r="D219" s="9">
        <v>45658</v>
      </c>
      <c r="E219" s="9"/>
      <c r="F219" t="s">
        <v>69</v>
      </c>
      <c r="G219" t="s">
        <v>105</v>
      </c>
      <c r="H219">
        <v>2351159600000</v>
      </c>
      <c r="I219" t="s">
        <v>281</v>
      </c>
      <c r="J219" s="1">
        <v>78881</v>
      </c>
      <c r="K219">
        <v>5</v>
      </c>
      <c r="L219" s="1">
        <v>15776.2</v>
      </c>
      <c r="M219" s="1"/>
      <c r="N219" s="1"/>
      <c r="O219" s="1"/>
      <c r="P219">
        <v>329852242</v>
      </c>
    </row>
    <row r="220" spans="1:16" x14ac:dyDescent="0.35">
      <c r="A220">
        <v>2025</v>
      </c>
      <c r="B220">
        <v>6</v>
      </c>
      <c r="C220">
        <v>219</v>
      </c>
      <c r="D220" s="9">
        <v>45627</v>
      </c>
      <c r="E220" s="9"/>
      <c r="F220" t="s">
        <v>69</v>
      </c>
      <c r="G220" t="s">
        <v>70</v>
      </c>
      <c r="H220">
        <v>2351296300000</v>
      </c>
      <c r="I220" t="s">
        <v>282</v>
      </c>
      <c r="J220" s="1">
        <v>187381</v>
      </c>
      <c r="K220">
        <v>6.6666666666666599</v>
      </c>
      <c r="L220" s="1">
        <v>28107.15</v>
      </c>
      <c r="M220" s="1"/>
      <c r="N220" s="1"/>
      <c r="O220" s="1"/>
      <c r="P220">
        <v>329658029</v>
      </c>
    </row>
    <row r="221" spans="1:16" x14ac:dyDescent="0.35">
      <c r="A221">
        <v>2025</v>
      </c>
      <c r="B221">
        <v>6</v>
      </c>
      <c r="C221">
        <v>220</v>
      </c>
      <c r="D221" s="9">
        <v>45658</v>
      </c>
      <c r="E221" s="9"/>
      <c r="F221" t="s">
        <v>69</v>
      </c>
      <c r="G221" t="s">
        <v>70</v>
      </c>
      <c r="H221">
        <v>2351397700000</v>
      </c>
      <c r="I221" t="s">
        <v>283</v>
      </c>
      <c r="J221" s="1">
        <v>278939</v>
      </c>
      <c r="K221">
        <v>6.6666666666666599</v>
      </c>
      <c r="L221" s="1">
        <v>41840.85</v>
      </c>
      <c r="M221" s="1"/>
      <c r="N221" s="1"/>
      <c r="O221" s="1"/>
      <c r="P221">
        <v>330993852</v>
      </c>
    </row>
    <row r="222" spans="1:16" x14ac:dyDescent="0.35">
      <c r="A222">
        <v>2025</v>
      </c>
      <c r="B222">
        <v>6</v>
      </c>
      <c r="C222">
        <v>221</v>
      </c>
      <c r="D222" s="9">
        <v>45658</v>
      </c>
      <c r="E222" s="9"/>
      <c r="F222" t="s">
        <v>69</v>
      </c>
      <c r="G222" t="s">
        <v>70</v>
      </c>
      <c r="H222">
        <v>2351478500000</v>
      </c>
      <c r="I222" t="s">
        <v>284</v>
      </c>
      <c r="J222" s="1">
        <v>284217</v>
      </c>
      <c r="K222">
        <v>6.6666666666666599</v>
      </c>
      <c r="L222" s="1">
        <v>42632.55</v>
      </c>
      <c r="M222" s="1"/>
      <c r="N222" s="1"/>
      <c r="O222" s="1"/>
      <c r="P222">
        <v>331228837</v>
      </c>
    </row>
    <row r="223" spans="1:16" x14ac:dyDescent="0.35">
      <c r="A223">
        <v>2025</v>
      </c>
      <c r="B223">
        <v>6</v>
      </c>
      <c r="C223">
        <v>222</v>
      </c>
      <c r="D223" s="9">
        <v>45658</v>
      </c>
      <c r="E223" s="9"/>
      <c r="F223" t="s">
        <v>69</v>
      </c>
      <c r="G223" t="s">
        <v>70</v>
      </c>
      <c r="H223">
        <v>2351639400000</v>
      </c>
      <c r="I223" t="s">
        <v>285</v>
      </c>
      <c r="J223" s="1">
        <v>301671</v>
      </c>
      <c r="K223">
        <v>6.6666666666666599</v>
      </c>
      <c r="L223" s="1">
        <v>45250.65</v>
      </c>
      <c r="M223" s="1"/>
      <c r="N223" s="1"/>
      <c r="O223" s="1"/>
      <c r="P223">
        <v>330997242</v>
      </c>
    </row>
    <row r="224" spans="1:16" x14ac:dyDescent="0.35">
      <c r="A224">
        <v>2025</v>
      </c>
      <c r="B224">
        <v>6</v>
      </c>
      <c r="C224">
        <v>223</v>
      </c>
      <c r="D224" s="9">
        <v>45689</v>
      </c>
      <c r="E224" s="9"/>
      <c r="F224" t="s">
        <v>69</v>
      </c>
      <c r="G224" t="s">
        <v>70</v>
      </c>
      <c r="H224">
        <v>2351680200000</v>
      </c>
      <c r="I224" t="s">
        <v>286</v>
      </c>
      <c r="J224" s="1">
        <v>223983</v>
      </c>
      <c r="K224">
        <v>6.6666666666666599</v>
      </c>
      <c r="L224" s="1">
        <v>33597.449999999997</v>
      </c>
      <c r="M224" s="1"/>
      <c r="N224" s="1"/>
      <c r="O224" s="1"/>
      <c r="P224">
        <v>332454341</v>
      </c>
    </row>
    <row r="225" spans="1:16" x14ac:dyDescent="0.35">
      <c r="A225">
        <v>2025</v>
      </c>
      <c r="B225">
        <v>6</v>
      </c>
      <c r="C225">
        <v>224</v>
      </c>
      <c r="D225" s="9">
        <v>45689</v>
      </c>
      <c r="E225" s="9"/>
      <c r="F225" t="s">
        <v>69</v>
      </c>
      <c r="G225" t="s">
        <v>70</v>
      </c>
      <c r="H225">
        <v>2351743200000</v>
      </c>
      <c r="I225" t="s">
        <v>287</v>
      </c>
      <c r="J225" s="1">
        <v>289127</v>
      </c>
      <c r="K225">
        <v>6.6666666666666599</v>
      </c>
      <c r="L225" s="1">
        <v>43369.05</v>
      </c>
      <c r="M225" s="1"/>
      <c r="N225" s="1"/>
      <c r="O225" s="1"/>
      <c r="P225">
        <v>332467129</v>
      </c>
    </row>
    <row r="226" spans="1:16" x14ac:dyDescent="0.35">
      <c r="A226">
        <v>2025</v>
      </c>
      <c r="B226">
        <v>6</v>
      </c>
      <c r="C226">
        <v>225</v>
      </c>
      <c r="D226" s="9">
        <v>45689</v>
      </c>
      <c r="E226" s="9"/>
      <c r="F226" t="s">
        <v>69</v>
      </c>
      <c r="G226" t="s">
        <v>70</v>
      </c>
      <c r="H226">
        <v>2352120100000</v>
      </c>
      <c r="I226" t="s">
        <v>288</v>
      </c>
      <c r="J226" s="1">
        <v>245889</v>
      </c>
      <c r="K226">
        <v>6.6666666666666599</v>
      </c>
      <c r="L226" s="1">
        <v>36883.35</v>
      </c>
      <c r="M226" s="1"/>
      <c r="N226" s="1"/>
      <c r="O226" s="1"/>
      <c r="P226">
        <v>332512940</v>
      </c>
    </row>
    <row r="227" spans="1:16" x14ac:dyDescent="0.35">
      <c r="A227">
        <v>2025</v>
      </c>
      <c r="B227">
        <v>6</v>
      </c>
      <c r="C227">
        <v>226</v>
      </c>
      <c r="D227" s="9">
        <v>45689</v>
      </c>
      <c r="E227" s="9"/>
      <c r="F227" t="s">
        <v>69</v>
      </c>
      <c r="G227" t="s">
        <v>70</v>
      </c>
      <c r="H227">
        <v>2352226500000</v>
      </c>
      <c r="I227" t="s">
        <v>289</v>
      </c>
      <c r="J227" s="1">
        <v>247290</v>
      </c>
      <c r="K227">
        <v>6.6666666666666599</v>
      </c>
      <c r="L227" s="1">
        <v>37093.5</v>
      </c>
      <c r="M227" s="1"/>
      <c r="N227" s="1"/>
      <c r="O227" s="1"/>
      <c r="P227">
        <v>332517196</v>
      </c>
    </row>
    <row r="228" spans="1:16" x14ac:dyDescent="0.35">
      <c r="A228">
        <v>2025</v>
      </c>
      <c r="B228">
        <v>6</v>
      </c>
      <c r="C228">
        <v>227</v>
      </c>
      <c r="D228" s="9">
        <v>45717</v>
      </c>
      <c r="E228" s="9"/>
      <c r="F228" t="s">
        <v>69</v>
      </c>
      <c r="G228" t="s">
        <v>70</v>
      </c>
      <c r="H228">
        <v>2352310600000</v>
      </c>
      <c r="I228" t="s">
        <v>290</v>
      </c>
      <c r="J228" s="1">
        <v>280053</v>
      </c>
      <c r="K228">
        <v>6.6666666666666599</v>
      </c>
      <c r="L228" s="1">
        <v>42007.95</v>
      </c>
      <c r="M228" s="1"/>
      <c r="N228" s="1"/>
      <c r="O228" s="1"/>
      <c r="P228">
        <v>334341298</v>
      </c>
    </row>
    <row r="229" spans="1:16" x14ac:dyDescent="0.35">
      <c r="A229">
        <v>2025</v>
      </c>
      <c r="B229">
        <v>6</v>
      </c>
      <c r="C229">
        <v>228</v>
      </c>
      <c r="D229" s="9">
        <v>45658</v>
      </c>
      <c r="E229" s="9"/>
      <c r="F229" t="s">
        <v>69</v>
      </c>
      <c r="G229" t="s">
        <v>70</v>
      </c>
      <c r="H229">
        <v>2352515600000</v>
      </c>
      <c r="I229" t="s">
        <v>291</v>
      </c>
      <c r="J229" s="1">
        <v>254628</v>
      </c>
      <c r="K229">
        <v>6.6666666666666599</v>
      </c>
      <c r="L229" s="1">
        <v>38194.199999999997</v>
      </c>
      <c r="M229" s="1"/>
      <c r="N229" s="1"/>
      <c r="O229" s="1"/>
      <c r="P229">
        <v>331229843</v>
      </c>
    </row>
    <row r="230" spans="1:16" x14ac:dyDescent="0.35">
      <c r="A230">
        <v>2025</v>
      </c>
      <c r="B230">
        <v>6</v>
      </c>
      <c r="C230">
        <v>229</v>
      </c>
      <c r="D230" s="9">
        <v>45658</v>
      </c>
      <c r="E230" s="9"/>
      <c r="F230" t="s">
        <v>69</v>
      </c>
      <c r="G230" t="s">
        <v>70</v>
      </c>
      <c r="H230">
        <v>2353137500000</v>
      </c>
      <c r="I230" t="s">
        <v>292</v>
      </c>
      <c r="J230" s="1">
        <v>213330</v>
      </c>
      <c r="K230">
        <v>6.6666666666666599</v>
      </c>
      <c r="L230" s="1">
        <v>31999.5</v>
      </c>
      <c r="M230" s="1"/>
      <c r="N230" s="1"/>
      <c r="O230" s="1"/>
      <c r="P230">
        <v>331036438</v>
      </c>
    </row>
    <row r="231" spans="1:16" x14ac:dyDescent="0.35">
      <c r="A231">
        <v>2025</v>
      </c>
      <c r="B231">
        <v>6</v>
      </c>
      <c r="C231">
        <v>230</v>
      </c>
      <c r="D231" s="9">
        <v>45627</v>
      </c>
      <c r="E231" s="9"/>
      <c r="F231" t="s">
        <v>69</v>
      </c>
      <c r="G231" t="s">
        <v>235</v>
      </c>
      <c r="H231">
        <v>2353438400000</v>
      </c>
      <c r="I231" t="s">
        <v>293</v>
      </c>
      <c r="J231" s="1">
        <v>274057</v>
      </c>
      <c r="K231">
        <v>4</v>
      </c>
      <c r="L231" s="1">
        <v>68514.25</v>
      </c>
      <c r="M231" s="1"/>
      <c r="N231" s="1"/>
      <c r="O231" s="1"/>
      <c r="P231">
        <v>106693645</v>
      </c>
    </row>
    <row r="232" spans="1:16" x14ac:dyDescent="0.35">
      <c r="A232">
        <v>2025</v>
      </c>
      <c r="B232">
        <v>6</v>
      </c>
      <c r="C232">
        <v>231</v>
      </c>
      <c r="D232" s="9">
        <v>45658</v>
      </c>
      <c r="E232" s="9"/>
      <c r="F232" t="s">
        <v>69</v>
      </c>
      <c r="G232" t="s">
        <v>70</v>
      </c>
      <c r="H232">
        <v>2353631400000</v>
      </c>
      <c r="I232" t="s">
        <v>294</v>
      </c>
      <c r="J232" s="1">
        <v>213178</v>
      </c>
      <c r="K232">
        <v>6.6666666666666599</v>
      </c>
      <c r="L232" s="1">
        <v>31976.7</v>
      </c>
      <c r="M232" s="1"/>
      <c r="N232" s="1"/>
      <c r="O232" s="1"/>
      <c r="P232">
        <v>331233779</v>
      </c>
    </row>
    <row r="233" spans="1:16" x14ac:dyDescent="0.35">
      <c r="A233">
        <v>2025</v>
      </c>
      <c r="B233">
        <v>6</v>
      </c>
      <c r="C233">
        <v>232</v>
      </c>
      <c r="D233" s="9">
        <v>45658</v>
      </c>
      <c r="E233" s="9"/>
      <c r="F233" t="s">
        <v>69</v>
      </c>
      <c r="G233" t="s">
        <v>70</v>
      </c>
      <c r="H233">
        <v>2353937000000</v>
      </c>
      <c r="I233" t="s">
        <v>295</v>
      </c>
      <c r="J233" s="1">
        <v>254084</v>
      </c>
      <c r="K233">
        <v>6.6666666666666599</v>
      </c>
      <c r="L233" s="1">
        <v>38112.6</v>
      </c>
      <c r="M233" s="1"/>
      <c r="N233" s="1"/>
      <c r="O233" s="1"/>
      <c r="P233">
        <v>331468649</v>
      </c>
    </row>
    <row r="234" spans="1:16" x14ac:dyDescent="0.35">
      <c r="A234">
        <v>2025</v>
      </c>
      <c r="B234">
        <v>6</v>
      </c>
      <c r="C234">
        <v>233</v>
      </c>
      <c r="D234" s="9">
        <v>45658</v>
      </c>
      <c r="E234" s="9"/>
      <c r="F234" t="s">
        <v>69</v>
      </c>
      <c r="G234" t="s">
        <v>70</v>
      </c>
      <c r="H234">
        <v>2354714700000</v>
      </c>
      <c r="I234" t="s">
        <v>296</v>
      </c>
      <c r="J234" s="1">
        <v>177477</v>
      </c>
      <c r="K234">
        <v>6.6666666666666599</v>
      </c>
      <c r="L234" s="1">
        <v>26621.55</v>
      </c>
      <c r="M234" s="1"/>
      <c r="N234" s="1"/>
      <c r="O234" s="1"/>
      <c r="P234">
        <v>107337978</v>
      </c>
    </row>
    <row r="235" spans="1:16" x14ac:dyDescent="0.35">
      <c r="A235">
        <v>2025</v>
      </c>
      <c r="B235">
        <v>6</v>
      </c>
      <c r="C235">
        <v>234</v>
      </c>
      <c r="D235" s="9">
        <v>45658</v>
      </c>
      <c r="E235" s="9"/>
      <c r="F235" t="s">
        <v>69</v>
      </c>
      <c r="G235" t="s">
        <v>105</v>
      </c>
      <c r="H235">
        <v>2354804700000</v>
      </c>
      <c r="I235" t="s">
        <v>297</v>
      </c>
      <c r="J235" s="1">
        <v>235315</v>
      </c>
      <c r="K235">
        <v>5</v>
      </c>
      <c r="L235" s="1">
        <v>47063</v>
      </c>
      <c r="M235" s="1"/>
      <c r="N235" s="1"/>
      <c r="O235" s="1"/>
      <c r="P235">
        <v>106933678</v>
      </c>
    </row>
    <row r="236" spans="1:16" x14ac:dyDescent="0.35">
      <c r="A236">
        <v>2025</v>
      </c>
      <c r="B236">
        <v>6</v>
      </c>
      <c r="C236">
        <v>235</v>
      </c>
      <c r="D236" s="9">
        <v>45658</v>
      </c>
      <c r="E236" s="9"/>
      <c r="F236" t="s">
        <v>69</v>
      </c>
      <c r="G236" t="s">
        <v>85</v>
      </c>
      <c r="H236">
        <v>2355456100000</v>
      </c>
      <c r="I236" t="s">
        <v>298</v>
      </c>
      <c r="J236" s="1">
        <v>246048</v>
      </c>
      <c r="K236">
        <v>6.6666666666666599</v>
      </c>
      <c r="L236" s="1">
        <v>36907.199999999997</v>
      </c>
      <c r="M236" s="1"/>
      <c r="N236" s="1"/>
      <c r="O236" s="1"/>
      <c r="P236">
        <v>107099545</v>
      </c>
    </row>
    <row r="237" spans="1:16" x14ac:dyDescent="0.35">
      <c r="A237">
        <v>2025</v>
      </c>
      <c r="B237">
        <v>6</v>
      </c>
      <c r="C237">
        <v>236</v>
      </c>
      <c r="D237" s="9">
        <v>45689</v>
      </c>
      <c r="E237" s="9"/>
      <c r="F237" t="s">
        <v>69</v>
      </c>
      <c r="G237" t="s">
        <v>85</v>
      </c>
      <c r="H237">
        <v>2355456100000</v>
      </c>
      <c r="I237" t="s">
        <v>298</v>
      </c>
      <c r="J237" s="1">
        <v>246048</v>
      </c>
      <c r="K237">
        <v>6.6666666666666599</v>
      </c>
      <c r="L237" s="1">
        <v>36907.199999999997</v>
      </c>
      <c r="M237" s="1"/>
      <c r="N237" s="1"/>
      <c r="O237" s="1"/>
      <c r="P237">
        <v>332576374</v>
      </c>
    </row>
    <row r="238" spans="1:16" x14ac:dyDescent="0.35">
      <c r="A238">
        <v>2025</v>
      </c>
      <c r="B238">
        <v>6</v>
      </c>
      <c r="C238">
        <v>237</v>
      </c>
      <c r="D238" s="9">
        <v>45689</v>
      </c>
      <c r="E238" s="9"/>
      <c r="F238" t="s">
        <v>69</v>
      </c>
      <c r="G238" t="s">
        <v>70</v>
      </c>
      <c r="H238">
        <v>2355487400000</v>
      </c>
      <c r="I238" t="s">
        <v>299</v>
      </c>
      <c r="J238" s="1">
        <v>339116</v>
      </c>
      <c r="K238">
        <v>6.6666666666666599</v>
      </c>
      <c r="L238" s="1">
        <v>50867.4</v>
      </c>
      <c r="M238" s="1"/>
      <c r="N238" s="1"/>
      <c r="O238" s="1"/>
      <c r="P238">
        <v>332850902</v>
      </c>
    </row>
    <row r="239" spans="1:16" x14ac:dyDescent="0.35">
      <c r="A239">
        <v>2025</v>
      </c>
      <c r="B239">
        <v>6</v>
      </c>
      <c r="C239">
        <v>238</v>
      </c>
      <c r="D239" s="9">
        <v>45689</v>
      </c>
      <c r="E239" s="9"/>
      <c r="F239" t="s">
        <v>69</v>
      </c>
      <c r="G239" t="s">
        <v>70</v>
      </c>
      <c r="H239">
        <v>2355580900000</v>
      </c>
      <c r="I239" t="s">
        <v>300</v>
      </c>
      <c r="J239" s="1">
        <v>2211525</v>
      </c>
      <c r="K239">
        <v>6.6666666666666599</v>
      </c>
      <c r="L239" s="1">
        <v>331728.75</v>
      </c>
      <c r="M239" s="1"/>
      <c r="N239" s="1"/>
      <c r="O239" s="1"/>
      <c r="P239">
        <v>107119012</v>
      </c>
    </row>
    <row r="240" spans="1:16" x14ac:dyDescent="0.35">
      <c r="A240">
        <v>2025</v>
      </c>
      <c r="B240">
        <v>6</v>
      </c>
      <c r="C240">
        <v>239</v>
      </c>
      <c r="D240" s="9">
        <v>45658</v>
      </c>
      <c r="E240" s="9"/>
      <c r="F240" t="s">
        <v>69</v>
      </c>
      <c r="G240" t="s">
        <v>70</v>
      </c>
      <c r="H240">
        <v>2355593700000</v>
      </c>
      <c r="I240" t="s">
        <v>301</v>
      </c>
      <c r="J240" s="1">
        <v>226681</v>
      </c>
      <c r="K240">
        <v>6.6666666666666599</v>
      </c>
      <c r="L240" s="1">
        <v>34002.15</v>
      </c>
      <c r="M240" s="1"/>
      <c r="N240" s="1"/>
      <c r="O240" s="1"/>
      <c r="P240">
        <v>107308821</v>
      </c>
    </row>
    <row r="241" spans="1:16" x14ac:dyDescent="0.35">
      <c r="A241">
        <v>2025</v>
      </c>
      <c r="B241">
        <v>6</v>
      </c>
      <c r="C241">
        <v>240</v>
      </c>
      <c r="D241" s="9">
        <v>45689</v>
      </c>
      <c r="E241" s="9"/>
      <c r="F241" t="s">
        <v>69</v>
      </c>
      <c r="G241" t="s">
        <v>70</v>
      </c>
      <c r="H241">
        <v>2355593700000</v>
      </c>
      <c r="I241" t="s">
        <v>301</v>
      </c>
      <c r="J241" s="1">
        <v>226681</v>
      </c>
      <c r="K241">
        <v>6.6666666666666599</v>
      </c>
      <c r="L241" s="1">
        <v>34002.15</v>
      </c>
      <c r="M241" s="1"/>
      <c r="N241" s="1"/>
      <c r="O241" s="1"/>
      <c r="P241">
        <v>333153595</v>
      </c>
    </row>
    <row r="242" spans="1:16" x14ac:dyDescent="0.35">
      <c r="A242">
        <v>2025</v>
      </c>
      <c r="B242">
        <v>6</v>
      </c>
      <c r="C242">
        <v>241</v>
      </c>
      <c r="D242" s="9">
        <v>45658</v>
      </c>
      <c r="E242" s="9"/>
      <c r="F242" t="s">
        <v>69</v>
      </c>
      <c r="G242" t="s">
        <v>105</v>
      </c>
      <c r="H242">
        <v>2355657000000</v>
      </c>
      <c r="I242" t="s">
        <v>302</v>
      </c>
      <c r="J242" s="1">
        <v>449409</v>
      </c>
      <c r="K242">
        <v>5</v>
      </c>
      <c r="L242" s="1">
        <v>89881.8</v>
      </c>
      <c r="M242" s="1"/>
      <c r="N242" s="1"/>
      <c r="O242" s="1"/>
      <c r="P242">
        <v>107135844</v>
      </c>
    </row>
    <row r="243" spans="1:16" x14ac:dyDescent="0.35">
      <c r="A243">
        <v>2025</v>
      </c>
      <c r="B243">
        <v>6</v>
      </c>
      <c r="C243">
        <v>242</v>
      </c>
      <c r="D243" s="9">
        <v>45658</v>
      </c>
      <c r="E243" s="9"/>
      <c r="F243" t="s">
        <v>69</v>
      </c>
      <c r="G243" t="s">
        <v>70</v>
      </c>
      <c r="H243">
        <v>2355773000000</v>
      </c>
      <c r="I243" t="s">
        <v>303</v>
      </c>
      <c r="J243" s="1">
        <v>2630544</v>
      </c>
      <c r="K243">
        <v>6.6666666666666599</v>
      </c>
      <c r="L243" s="1">
        <v>394581.6</v>
      </c>
      <c r="M243" s="1"/>
      <c r="N243" s="1"/>
      <c r="O243" s="1"/>
      <c r="P243">
        <v>107154290</v>
      </c>
    </row>
    <row r="244" spans="1:16" x14ac:dyDescent="0.35">
      <c r="A244">
        <v>2025</v>
      </c>
      <c r="B244">
        <v>6</v>
      </c>
      <c r="C244">
        <v>243</v>
      </c>
      <c r="D244" s="9">
        <v>45689</v>
      </c>
      <c r="E244" s="9"/>
      <c r="F244" t="s">
        <v>69</v>
      </c>
      <c r="G244" t="s">
        <v>70</v>
      </c>
      <c r="H244">
        <v>2355829000000</v>
      </c>
      <c r="I244" t="s">
        <v>304</v>
      </c>
      <c r="J244" s="1">
        <v>3780910</v>
      </c>
      <c r="K244">
        <v>6.6666666666666599</v>
      </c>
      <c r="L244" s="1">
        <v>567136.5</v>
      </c>
      <c r="M244" s="1"/>
      <c r="N244" s="1"/>
      <c r="O244" s="1"/>
      <c r="P244">
        <v>107262804</v>
      </c>
    </row>
    <row r="245" spans="1:16" x14ac:dyDescent="0.35">
      <c r="A245">
        <v>2025</v>
      </c>
      <c r="B245">
        <v>6</v>
      </c>
      <c r="C245">
        <v>244</v>
      </c>
      <c r="D245" s="9">
        <v>45658</v>
      </c>
      <c r="E245" s="9"/>
      <c r="F245" t="s">
        <v>69</v>
      </c>
      <c r="G245" t="s">
        <v>70</v>
      </c>
      <c r="H245">
        <v>2355851000000</v>
      </c>
      <c r="I245" t="s">
        <v>305</v>
      </c>
      <c r="J245" s="1">
        <v>1105163</v>
      </c>
      <c r="K245">
        <v>6.6666666666666599</v>
      </c>
      <c r="L245" s="1">
        <v>165774.45000000001</v>
      </c>
      <c r="M245" s="1"/>
      <c r="N245" s="1"/>
      <c r="O245" s="1"/>
      <c r="P245">
        <v>107170411</v>
      </c>
    </row>
    <row r="246" spans="1:16" x14ac:dyDescent="0.35">
      <c r="A246">
        <v>2025</v>
      </c>
      <c r="B246">
        <v>6</v>
      </c>
      <c r="C246">
        <v>245</v>
      </c>
      <c r="D246" s="9">
        <v>45658</v>
      </c>
      <c r="E246" s="9"/>
      <c r="F246" t="s">
        <v>69</v>
      </c>
      <c r="G246" t="s">
        <v>70</v>
      </c>
      <c r="H246">
        <v>2355875200000</v>
      </c>
      <c r="I246" t="s">
        <v>306</v>
      </c>
      <c r="J246" s="1">
        <v>3602714</v>
      </c>
      <c r="K246">
        <v>6.6666666666666599</v>
      </c>
      <c r="L246" s="1">
        <v>540407.1</v>
      </c>
      <c r="M246" s="1"/>
      <c r="N246" s="1"/>
      <c r="O246" s="1"/>
      <c r="P246">
        <v>107260931</v>
      </c>
    </row>
    <row r="247" spans="1:16" x14ac:dyDescent="0.35">
      <c r="A247">
        <v>2025</v>
      </c>
      <c r="B247">
        <v>6</v>
      </c>
      <c r="C247">
        <v>246</v>
      </c>
      <c r="D247" s="9">
        <v>45689</v>
      </c>
      <c r="E247" s="9"/>
      <c r="F247" t="s">
        <v>69</v>
      </c>
      <c r="G247" t="s">
        <v>70</v>
      </c>
      <c r="H247">
        <v>2355977100000</v>
      </c>
      <c r="I247" t="s">
        <v>307</v>
      </c>
      <c r="J247" s="1">
        <v>3273179</v>
      </c>
      <c r="K247">
        <v>6.6666666666666599</v>
      </c>
      <c r="L247" s="1">
        <v>490976.85</v>
      </c>
      <c r="M247" s="1"/>
      <c r="N247" s="1"/>
      <c r="O247" s="1"/>
      <c r="P247">
        <v>107280160</v>
      </c>
    </row>
    <row r="248" spans="1:16" x14ac:dyDescent="0.35">
      <c r="A248">
        <v>2025</v>
      </c>
      <c r="B248">
        <v>6</v>
      </c>
      <c r="C248">
        <v>247</v>
      </c>
      <c r="D248" s="9">
        <v>45658</v>
      </c>
      <c r="E248" s="9"/>
      <c r="F248" t="s">
        <v>69</v>
      </c>
      <c r="G248" t="s">
        <v>70</v>
      </c>
      <c r="H248">
        <v>2356033700000</v>
      </c>
      <c r="I248" t="s">
        <v>308</v>
      </c>
      <c r="J248" s="1">
        <v>3344351</v>
      </c>
      <c r="K248">
        <v>6.6666666666666599</v>
      </c>
      <c r="L248" s="1">
        <v>501652.65</v>
      </c>
      <c r="M248" s="1"/>
      <c r="N248" s="1"/>
      <c r="O248" s="1"/>
      <c r="P248">
        <v>107292280</v>
      </c>
    </row>
    <row r="249" spans="1:16" x14ac:dyDescent="0.35">
      <c r="A249">
        <v>2025</v>
      </c>
      <c r="B249">
        <v>6</v>
      </c>
      <c r="C249">
        <v>248</v>
      </c>
      <c r="D249" s="9">
        <v>45658</v>
      </c>
      <c r="E249" s="9"/>
      <c r="F249" t="s">
        <v>69</v>
      </c>
      <c r="G249" t="s">
        <v>70</v>
      </c>
      <c r="H249">
        <v>2356095600000</v>
      </c>
      <c r="I249" t="s">
        <v>309</v>
      </c>
      <c r="J249" s="1">
        <v>194120</v>
      </c>
      <c r="K249">
        <v>6.6666666666666599</v>
      </c>
      <c r="L249" s="1">
        <v>29118</v>
      </c>
      <c r="M249" s="1"/>
      <c r="N249" s="1"/>
      <c r="O249" s="1"/>
      <c r="P249">
        <v>107367587</v>
      </c>
    </row>
    <row r="250" spans="1:16" x14ac:dyDescent="0.35">
      <c r="A250">
        <v>2025</v>
      </c>
      <c r="B250">
        <v>6</v>
      </c>
      <c r="C250">
        <v>249</v>
      </c>
      <c r="D250" s="9">
        <v>45658</v>
      </c>
      <c r="E250" s="9"/>
      <c r="F250" t="s">
        <v>69</v>
      </c>
      <c r="G250" t="s">
        <v>70</v>
      </c>
      <c r="H250">
        <v>2356250500000</v>
      </c>
      <c r="I250" t="s">
        <v>310</v>
      </c>
      <c r="J250" s="1">
        <v>2073891</v>
      </c>
      <c r="K250">
        <v>6.6666666666666599</v>
      </c>
      <c r="L250" s="1">
        <v>311083.65000000002</v>
      </c>
      <c r="M250" s="1"/>
      <c r="N250" s="1"/>
      <c r="O250" s="1"/>
      <c r="P250">
        <v>107340865</v>
      </c>
    </row>
    <row r="251" spans="1:16" x14ac:dyDescent="0.35">
      <c r="A251">
        <v>2025</v>
      </c>
      <c r="B251">
        <v>6</v>
      </c>
      <c r="C251">
        <v>250</v>
      </c>
      <c r="D251" s="9">
        <v>45689</v>
      </c>
      <c r="E251" s="9"/>
      <c r="F251" t="s">
        <v>69</v>
      </c>
      <c r="G251" t="s">
        <v>70</v>
      </c>
      <c r="H251">
        <v>2356271000000</v>
      </c>
      <c r="I251" t="s">
        <v>311</v>
      </c>
      <c r="J251" s="1">
        <v>107108</v>
      </c>
      <c r="K251">
        <v>6.6666666666666599</v>
      </c>
      <c r="L251" s="1">
        <v>16066.2</v>
      </c>
      <c r="M251" s="1"/>
      <c r="N251" s="1"/>
      <c r="O251" s="1"/>
      <c r="P251">
        <v>107406229</v>
      </c>
    </row>
    <row r="252" spans="1:16" x14ac:dyDescent="0.35">
      <c r="A252">
        <v>2025</v>
      </c>
      <c r="B252">
        <v>6</v>
      </c>
      <c r="C252">
        <v>251</v>
      </c>
      <c r="D252" s="9">
        <v>45717</v>
      </c>
      <c r="E252" s="9"/>
      <c r="F252" t="s">
        <v>69</v>
      </c>
      <c r="G252" t="s">
        <v>70</v>
      </c>
      <c r="H252">
        <v>2356271000000</v>
      </c>
      <c r="I252" t="s">
        <v>312</v>
      </c>
      <c r="J252" s="1">
        <v>107108</v>
      </c>
      <c r="K252">
        <v>6.6666666666666599</v>
      </c>
      <c r="L252" s="1">
        <v>16066.2</v>
      </c>
      <c r="M252" s="1"/>
      <c r="N252" s="1"/>
      <c r="O252" s="1"/>
      <c r="P252">
        <v>334420167</v>
      </c>
    </row>
    <row r="253" spans="1:16" x14ac:dyDescent="0.35">
      <c r="A253">
        <v>2025</v>
      </c>
      <c r="B253">
        <v>6</v>
      </c>
      <c r="C253">
        <v>252</v>
      </c>
      <c r="D253" s="9">
        <v>45658</v>
      </c>
      <c r="E253" s="9"/>
      <c r="F253" t="s">
        <v>69</v>
      </c>
      <c r="G253" t="s">
        <v>70</v>
      </c>
      <c r="H253">
        <v>2356336600000</v>
      </c>
      <c r="I253" t="s">
        <v>313</v>
      </c>
      <c r="J253" s="1">
        <v>2117927</v>
      </c>
      <c r="K253">
        <v>6.6666666666666599</v>
      </c>
      <c r="L253" s="1">
        <v>317689.05</v>
      </c>
      <c r="M253" s="1"/>
      <c r="N253" s="1"/>
      <c r="O253" s="1"/>
      <c r="P253">
        <v>107372595</v>
      </c>
    </row>
    <row r="254" spans="1:16" x14ac:dyDescent="0.35">
      <c r="A254">
        <v>2025</v>
      </c>
      <c r="B254">
        <v>6</v>
      </c>
      <c r="C254">
        <v>253</v>
      </c>
      <c r="D254" s="9">
        <v>45689</v>
      </c>
      <c r="E254" s="9"/>
      <c r="F254" t="s">
        <v>69</v>
      </c>
      <c r="G254" t="s">
        <v>70</v>
      </c>
      <c r="H254">
        <v>2356497300000</v>
      </c>
      <c r="I254" t="s">
        <v>314</v>
      </c>
      <c r="J254" s="1">
        <v>1833561</v>
      </c>
      <c r="K254">
        <v>6.6666666666666599</v>
      </c>
      <c r="L254" s="1">
        <v>275034.15000000002</v>
      </c>
      <c r="M254" s="1"/>
      <c r="N254" s="1"/>
      <c r="O254" s="1"/>
      <c r="P254">
        <v>107382958</v>
      </c>
    </row>
    <row r="255" spans="1:16" x14ac:dyDescent="0.35">
      <c r="A255">
        <v>2025</v>
      </c>
      <c r="B255">
        <v>6</v>
      </c>
      <c r="C255">
        <v>254</v>
      </c>
      <c r="D255" s="9">
        <v>45689</v>
      </c>
      <c r="E255" s="9"/>
      <c r="F255" t="s">
        <v>69</v>
      </c>
      <c r="G255" t="s">
        <v>70</v>
      </c>
      <c r="H255">
        <v>2356511900000</v>
      </c>
      <c r="I255" t="s">
        <v>315</v>
      </c>
      <c r="J255" s="1">
        <v>7871752</v>
      </c>
      <c r="K255">
        <v>6.6666666666666599</v>
      </c>
      <c r="L255" s="1">
        <v>1180762.8</v>
      </c>
      <c r="M255" s="1"/>
      <c r="N255" s="1"/>
      <c r="O255" s="1"/>
      <c r="P255">
        <v>107406773</v>
      </c>
    </row>
    <row r="256" spans="1:16" x14ac:dyDescent="0.35">
      <c r="A256">
        <v>2025</v>
      </c>
      <c r="B256">
        <v>6</v>
      </c>
      <c r="C256">
        <v>255</v>
      </c>
      <c r="D256" s="9">
        <v>45658</v>
      </c>
      <c r="E256" s="9"/>
      <c r="F256" t="s">
        <v>69</v>
      </c>
      <c r="G256" t="s">
        <v>70</v>
      </c>
      <c r="H256">
        <v>2356579800000</v>
      </c>
      <c r="I256" t="s">
        <v>316</v>
      </c>
      <c r="J256" s="1">
        <v>654731</v>
      </c>
      <c r="K256">
        <v>6.6666666666666599</v>
      </c>
      <c r="L256" s="1">
        <v>98209.65</v>
      </c>
      <c r="M256" s="1"/>
      <c r="N256" s="1"/>
      <c r="O256" s="1"/>
      <c r="P256">
        <v>107398517</v>
      </c>
    </row>
    <row r="257" spans="1:16" x14ac:dyDescent="0.35">
      <c r="A257">
        <v>2025</v>
      </c>
      <c r="B257">
        <v>6</v>
      </c>
      <c r="C257">
        <v>256</v>
      </c>
      <c r="D257" s="9">
        <v>45689</v>
      </c>
      <c r="E257" s="9"/>
      <c r="F257" t="s">
        <v>69</v>
      </c>
      <c r="G257" t="s">
        <v>70</v>
      </c>
      <c r="H257">
        <v>2356582500000</v>
      </c>
      <c r="I257" t="s">
        <v>317</v>
      </c>
      <c r="J257" s="1">
        <v>1216888</v>
      </c>
      <c r="K257">
        <v>6.6666666666666599</v>
      </c>
      <c r="L257" s="1">
        <v>182533.2</v>
      </c>
      <c r="M257" s="1"/>
      <c r="N257" s="1"/>
      <c r="O257" s="1"/>
      <c r="P257">
        <v>107431219</v>
      </c>
    </row>
    <row r="258" spans="1:16" x14ac:dyDescent="0.35">
      <c r="A258">
        <v>2025</v>
      </c>
      <c r="B258">
        <v>6</v>
      </c>
      <c r="C258">
        <v>257</v>
      </c>
      <c r="D258" s="9">
        <v>45689</v>
      </c>
      <c r="E258" s="9"/>
      <c r="F258" t="s">
        <v>69</v>
      </c>
      <c r="G258" t="s">
        <v>88</v>
      </c>
      <c r="H258">
        <v>2356762600000</v>
      </c>
      <c r="I258" t="s">
        <v>318</v>
      </c>
      <c r="J258" s="1">
        <v>388939</v>
      </c>
      <c r="K258">
        <v>10</v>
      </c>
      <c r="L258" s="1">
        <v>38893.9</v>
      </c>
      <c r="M258" s="1"/>
      <c r="N258" s="1"/>
      <c r="O258" s="1"/>
      <c r="P258">
        <v>107690798</v>
      </c>
    </row>
    <row r="259" spans="1:16" x14ac:dyDescent="0.35">
      <c r="A259">
        <v>2025</v>
      </c>
      <c r="B259">
        <v>6</v>
      </c>
      <c r="C259">
        <v>258</v>
      </c>
      <c r="D259" s="9">
        <v>45689</v>
      </c>
      <c r="E259" s="9"/>
      <c r="F259" t="s">
        <v>69</v>
      </c>
      <c r="G259" t="s">
        <v>70</v>
      </c>
      <c r="H259">
        <v>2356830200000</v>
      </c>
      <c r="I259" t="s">
        <v>319</v>
      </c>
      <c r="J259" s="1">
        <v>830726</v>
      </c>
      <c r="K259">
        <v>6.6666666666666599</v>
      </c>
      <c r="L259" s="1">
        <v>124608.9</v>
      </c>
      <c r="M259" s="1"/>
      <c r="N259" s="1"/>
      <c r="O259" s="1"/>
      <c r="P259">
        <v>107452389</v>
      </c>
    </row>
    <row r="260" spans="1:16" x14ac:dyDescent="0.35">
      <c r="A260">
        <v>2025</v>
      </c>
      <c r="B260">
        <v>6</v>
      </c>
      <c r="C260">
        <v>259</v>
      </c>
      <c r="D260" s="9">
        <v>45689</v>
      </c>
      <c r="E260" s="9"/>
      <c r="F260" t="s">
        <v>69</v>
      </c>
      <c r="G260" t="s">
        <v>70</v>
      </c>
      <c r="H260">
        <v>2356880000000</v>
      </c>
      <c r="I260" t="s">
        <v>320</v>
      </c>
      <c r="J260" s="1">
        <v>3873895</v>
      </c>
      <c r="K260">
        <v>6.6666666666666599</v>
      </c>
      <c r="L260" s="1">
        <v>581084.25</v>
      </c>
      <c r="M260" s="1"/>
      <c r="N260" s="1"/>
      <c r="O260" s="1"/>
      <c r="P260">
        <v>107472122</v>
      </c>
    </row>
    <row r="261" spans="1:16" x14ac:dyDescent="0.35">
      <c r="A261">
        <v>2025</v>
      </c>
      <c r="B261">
        <v>6</v>
      </c>
      <c r="C261">
        <v>260</v>
      </c>
      <c r="D261" s="9">
        <v>45689</v>
      </c>
      <c r="E261" s="9"/>
      <c r="F261" t="s">
        <v>69</v>
      </c>
      <c r="G261" t="s">
        <v>70</v>
      </c>
      <c r="H261">
        <v>2356911400000</v>
      </c>
      <c r="I261" t="s">
        <v>321</v>
      </c>
      <c r="J261" s="1">
        <v>1270906</v>
      </c>
      <c r="K261">
        <v>6.6666666666666599</v>
      </c>
      <c r="L261" s="1">
        <v>190635.9</v>
      </c>
      <c r="M261" s="1"/>
      <c r="N261" s="1"/>
      <c r="O261" s="1"/>
      <c r="P261">
        <v>107471348</v>
      </c>
    </row>
    <row r="262" spans="1:16" x14ac:dyDescent="0.35">
      <c r="A262">
        <v>2025</v>
      </c>
      <c r="B262">
        <v>6</v>
      </c>
      <c r="C262">
        <v>261</v>
      </c>
      <c r="D262" s="9">
        <v>45689</v>
      </c>
      <c r="E262" s="9"/>
      <c r="F262" t="s">
        <v>69</v>
      </c>
      <c r="G262" t="s">
        <v>70</v>
      </c>
      <c r="H262">
        <v>2356993200000</v>
      </c>
      <c r="I262" t="s">
        <v>322</v>
      </c>
      <c r="J262" s="1">
        <v>2759266</v>
      </c>
      <c r="K262">
        <v>6.6666666666666599</v>
      </c>
      <c r="L262" s="1">
        <v>413889.9</v>
      </c>
      <c r="M262" s="1"/>
      <c r="N262" s="1"/>
      <c r="O262" s="1"/>
      <c r="P262">
        <v>107522983</v>
      </c>
    </row>
    <row r="263" spans="1:16" x14ac:dyDescent="0.35">
      <c r="A263">
        <v>2025</v>
      </c>
      <c r="B263">
        <v>6</v>
      </c>
      <c r="C263">
        <v>262</v>
      </c>
      <c r="D263" s="9">
        <v>45689</v>
      </c>
      <c r="E263" s="9"/>
      <c r="F263" t="s">
        <v>69</v>
      </c>
      <c r="G263" t="s">
        <v>70</v>
      </c>
      <c r="H263">
        <v>2357085400000</v>
      </c>
      <c r="I263" t="s">
        <v>323</v>
      </c>
      <c r="J263" s="1">
        <v>2534711</v>
      </c>
      <c r="K263">
        <v>6.6666666666666599</v>
      </c>
      <c r="L263" s="1">
        <v>380206.65</v>
      </c>
      <c r="M263" s="1"/>
      <c r="N263" s="1"/>
      <c r="O263" s="1"/>
      <c r="P263">
        <v>107484069</v>
      </c>
    </row>
    <row r="264" spans="1:16" x14ac:dyDescent="0.35">
      <c r="A264">
        <v>2025</v>
      </c>
      <c r="B264">
        <v>6</v>
      </c>
      <c r="C264">
        <v>263</v>
      </c>
      <c r="D264" s="9">
        <v>45689</v>
      </c>
      <c r="E264" s="9"/>
      <c r="F264" t="s">
        <v>69</v>
      </c>
      <c r="G264" t="s">
        <v>70</v>
      </c>
      <c r="H264">
        <v>2357121400000</v>
      </c>
      <c r="I264" t="s">
        <v>324</v>
      </c>
      <c r="J264" s="1">
        <v>2330219</v>
      </c>
      <c r="K264">
        <v>6.6666666666666599</v>
      </c>
      <c r="L264" s="1">
        <v>349532.85</v>
      </c>
      <c r="M264" s="1"/>
      <c r="N264" s="1"/>
      <c r="O264" s="1"/>
      <c r="P264">
        <v>107574935</v>
      </c>
    </row>
    <row r="265" spans="1:16" x14ac:dyDescent="0.35">
      <c r="A265">
        <v>2025</v>
      </c>
      <c r="B265">
        <v>6</v>
      </c>
      <c r="C265">
        <v>264</v>
      </c>
      <c r="D265" s="9">
        <v>45689</v>
      </c>
      <c r="E265" s="9"/>
      <c r="F265" t="s">
        <v>69</v>
      </c>
      <c r="G265" t="s">
        <v>70</v>
      </c>
      <c r="H265">
        <v>2357146000000</v>
      </c>
      <c r="I265" t="s">
        <v>325</v>
      </c>
      <c r="J265" s="1">
        <v>240021</v>
      </c>
      <c r="K265">
        <v>6.6666666666666599</v>
      </c>
      <c r="L265" s="1">
        <v>36003.15</v>
      </c>
      <c r="M265" s="1"/>
      <c r="N265" s="1"/>
      <c r="O265" s="1"/>
      <c r="P265">
        <v>107533808</v>
      </c>
    </row>
    <row r="266" spans="1:16" x14ac:dyDescent="0.35">
      <c r="A266">
        <v>2025</v>
      </c>
      <c r="B266">
        <v>6</v>
      </c>
      <c r="C266">
        <v>265</v>
      </c>
      <c r="D266" s="9">
        <v>45689</v>
      </c>
      <c r="E266" s="9"/>
      <c r="F266" t="s">
        <v>69</v>
      </c>
      <c r="G266" t="s">
        <v>70</v>
      </c>
      <c r="H266">
        <v>2357331200000</v>
      </c>
      <c r="I266" t="s">
        <v>326</v>
      </c>
      <c r="J266" s="1">
        <v>1920393</v>
      </c>
      <c r="K266">
        <v>6.6666666666666599</v>
      </c>
      <c r="L266" s="1">
        <v>288058.95</v>
      </c>
      <c r="M266" s="1"/>
      <c r="N266" s="1"/>
      <c r="O266" s="1"/>
      <c r="P266">
        <v>107529319</v>
      </c>
    </row>
    <row r="267" spans="1:16" x14ac:dyDescent="0.35">
      <c r="A267">
        <v>2025</v>
      </c>
      <c r="B267">
        <v>6</v>
      </c>
      <c r="C267">
        <v>266</v>
      </c>
      <c r="D267" s="9">
        <v>45689</v>
      </c>
      <c r="E267" s="9"/>
      <c r="F267" t="s">
        <v>69</v>
      </c>
      <c r="G267" t="s">
        <v>70</v>
      </c>
      <c r="H267">
        <v>2357375300000</v>
      </c>
      <c r="I267" t="s">
        <v>327</v>
      </c>
      <c r="J267" s="1">
        <v>2568517</v>
      </c>
      <c r="K267">
        <v>6.6666666666666599</v>
      </c>
      <c r="L267" s="1">
        <v>385277.55</v>
      </c>
      <c r="M267" s="1"/>
      <c r="N267" s="1"/>
      <c r="O267" s="1"/>
      <c r="P267">
        <v>107531414</v>
      </c>
    </row>
    <row r="268" spans="1:16" x14ac:dyDescent="0.35">
      <c r="A268">
        <v>2025</v>
      </c>
      <c r="B268">
        <v>6</v>
      </c>
      <c r="C268">
        <v>267</v>
      </c>
      <c r="D268" s="9">
        <v>45689</v>
      </c>
      <c r="E268" s="9"/>
      <c r="F268" t="s">
        <v>69</v>
      </c>
      <c r="G268" t="s">
        <v>70</v>
      </c>
      <c r="H268">
        <v>2357387100000</v>
      </c>
      <c r="I268" t="s">
        <v>328</v>
      </c>
      <c r="J268" s="1">
        <v>2962526</v>
      </c>
      <c r="K268">
        <v>6.6666666666666599</v>
      </c>
      <c r="L268" s="1">
        <v>444378.9</v>
      </c>
      <c r="M268" s="1"/>
      <c r="N268" s="1"/>
      <c r="O268" s="1"/>
      <c r="P268">
        <v>107531711</v>
      </c>
    </row>
    <row r="269" spans="1:16" x14ac:dyDescent="0.35">
      <c r="A269">
        <v>2025</v>
      </c>
      <c r="B269">
        <v>6</v>
      </c>
      <c r="C269">
        <v>268</v>
      </c>
      <c r="D269" s="9">
        <v>45689</v>
      </c>
      <c r="E269" s="9"/>
      <c r="F269" t="s">
        <v>69</v>
      </c>
      <c r="G269" t="s">
        <v>70</v>
      </c>
      <c r="H269">
        <v>2357570400000</v>
      </c>
      <c r="I269" t="s">
        <v>329</v>
      </c>
      <c r="J269" s="1">
        <v>2175061</v>
      </c>
      <c r="K269">
        <v>6.6666666666666599</v>
      </c>
      <c r="L269" s="1">
        <v>326259.15000000002</v>
      </c>
      <c r="M269" s="1"/>
      <c r="N269" s="1"/>
      <c r="O269" s="1"/>
      <c r="P269">
        <v>107565131</v>
      </c>
    </row>
    <row r="270" spans="1:16" x14ac:dyDescent="0.35">
      <c r="A270">
        <v>2025</v>
      </c>
      <c r="B270">
        <v>6</v>
      </c>
      <c r="C270">
        <v>269</v>
      </c>
      <c r="D270" s="9">
        <v>45689</v>
      </c>
      <c r="E270" s="9"/>
      <c r="F270" t="s">
        <v>69</v>
      </c>
      <c r="G270" t="s">
        <v>70</v>
      </c>
      <c r="H270">
        <v>2357617700000</v>
      </c>
      <c r="I270" t="s">
        <v>330</v>
      </c>
      <c r="J270" s="1">
        <v>4582457</v>
      </c>
      <c r="K270">
        <v>6.6666666666666599</v>
      </c>
      <c r="L270" s="1">
        <v>687368.55</v>
      </c>
      <c r="M270" s="1"/>
      <c r="N270" s="1"/>
      <c r="O270" s="1"/>
      <c r="P270">
        <v>107575577</v>
      </c>
    </row>
    <row r="271" spans="1:16" x14ac:dyDescent="0.35">
      <c r="A271">
        <v>2025</v>
      </c>
      <c r="B271">
        <v>6</v>
      </c>
      <c r="C271">
        <v>270</v>
      </c>
      <c r="D271" s="9">
        <v>45689</v>
      </c>
      <c r="E271" s="9"/>
      <c r="F271" t="s">
        <v>69</v>
      </c>
      <c r="G271" t="s">
        <v>70</v>
      </c>
      <c r="H271">
        <v>2357690300000</v>
      </c>
      <c r="I271" t="s">
        <v>331</v>
      </c>
      <c r="J271" s="1">
        <v>976062</v>
      </c>
      <c r="K271">
        <v>6.6666666666666599</v>
      </c>
      <c r="L271" s="1">
        <v>146409.29999999999</v>
      </c>
      <c r="M271" s="1"/>
      <c r="N271" s="1"/>
      <c r="O271" s="1"/>
      <c r="P271">
        <v>107660734</v>
      </c>
    </row>
    <row r="272" spans="1:16" x14ac:dyDescent="0.35">
      <c r="A272">
        <v>2025</v>
      </c>
      <c r="B272">
        <v>6</v>
      </c>
      <c r="C272">
        <v>271</v>
      </c>
      <c r="D272" s="9">
        <v>45689</v>
      </c>
      <c r="E272" s="9"/>
      <c r="F272" t="s">
        <v>69</v>
      </c>
      <c r="G272" t="s">
        <v>70</v>
      </c>
      <c r="H272">
        <v>2357773900000</v>
      </c>
      <c r="I272" t="s">
        <v>332</v>
      </c>
      <c r="J272" s="1">
        <v>169235</v>
      </c>
      <c r="K272">
        <v>6.6666666666666599</v>
      </c>
      <c r="L272" s="1">
        <v>25385.25</v>
      </c>
      <c r="M272" s="1"/>
      <c r="N272" s="1"/>
      <c r="O272" s="1"/>
      <c r="P272">
        <v>107644431</v>
      </c>
    </row>
    <row r="273" spans="1:16" x14ac:dyDescent="0.35">
      <c r="A273">
        <v>2025</v>
      </c>
      <c r="B273">
        <v>6</v>
      </c>
      <c r="C273">
        <v>272</v>
      </c>
      <c r="D273" s="9">
        <v>45689</v>
      </c>
      <c r="E273" s="9"/>
      <c r="F273" t="s">
        <v>69</v>
      </c>
      <c r="G273" t="s">
        <v>70</v>
      </c>
      <c r="H273">
        <v>2357837200000</v>
      </c>
      <c r="I273" t="s">
        <v>333</v>
      </c>
      <c r="J273" s="1">
        <v>2273880</v>
      </c>
      <c r="K273">
        <v>6.6666666666666599</v>
      </c>
      <c r="L273" s="1">
        <v>341082</v>
      </c>
      <c r="M273" s="1"/>
      <c r="N273" s="1"/>
      <c r="O273" s="1"/>
      <c r="P273">
        <v>107615217</v>
      </c>
    </row>
    <row r="274" spans="1:16" x14ac:dyDescent="0.35">
      <c r="A274">
        <v>2025</v>
      </c>
      <c r="B274">
        <v>6</v>
      </c>
      <c r="C274">
        <v>273</v>
      </c>
      <c r="D274" s="9">
        <v>45689</v>
      </c>
      <c r="E274" s="9"/>
      <c r="F274" t="s">
        <v>69</v>
      </c>
      <c r="G274" t="s">
        <v>70</v>
      </c>
      <c r="H274">
        <v>2357838400000</v>
      </c>
      <c r="I274" t="s">
        <v>334</v>
      </c>
      <c r="J274" s="1">
        <v>3383141</v>
      </c>
      <c r="K274">
        <v>6.6666666666666599</v>
      </c>
      <c r="L274" s="1">
        <v>507471.15</v>
      </c>
      <c r="M274" s="1"/>
      <c r="N274" s="1"/>
      <c r="O274" s="1"/>
      <c r="P274">
        <v>107615381</v>
      </c>
    </row>
    <row r="275" spans="1:16" x14ac:dyDescent="0.35">
      <c r="A275">
        <v>2025</v>
      </c>
      <c r="B275">
        <v>6</v>
      </c>
      <c r="C275">
        <v>274</v>
      </c>
      <c r="D275" s="9">
        <v>45689</v>
      </c>
      <c r="E275" s="9"/>
      <c r="F275" t="s">
        <v>69</v>
      </c>
      <c r="G275" t="s">
        <v>105</v>
      </c>
      <c r="H275">
        <v>2357860300000</v>
      </c>
      <c r="I275" t="s">
        <v>335</v>
      </c>
      <c r="J275" s="1">
        <v>1429960</v>
      </c>
      <c r="K275">
        <v>5</v>
      </c>
      <c r="L275" s="1">
        <v>285992</v>
      </c>
      <c r="M275" s="1"/>
      <c r="N275" s="1"/>
      <c r="O275" s="1"/>
      <c r="P275">
        <v>107618690</v>
      </c>
    </row>
    <row r="276" spans="1:16" x14ac:dyDescent="0.35">
      <c r="A276">
        <v>2025</v>
      </c>
      <c r="B276">
        <v>6</v>
      </c>
      <c r="C276">
        <v>275</v>
      </c>
      <c r="D276" s="9">
        <v>45689</v>
      </c>
      <c r="E276" s="9"/>
      <c r="F276" t="s">
        <v>69</v>
      </c>
      <c r="G276" t="s">
        <v>70</v>
      </c>
      <c r="H276">
        <v>2357953600000</v>
      </c>
      <c r="I276" t="s">
        <v>336</v>
      </c>
      <c r="J276" s="1">
        <v>2346561</v>
      </c>
      <c r="K276">
        <v>6.6666666666666599</v>
      </c>
      <c r="L276" s="1">
        <v>351984.15</v>
      </c>
      <c r="M276" s="1"/>
      <c r="N276" s="1"/>
      <c r="O276" s="1"/>
      <c r="P276">
        <v>107649984</v>
      </c>
    </row>
    <row r="277" spans="1:16" x14ac:dyDescent="0.35">
      <c r="A277">
        <v>2025</v>
      </c>
      <c r="B277">
        <v>6</v>
      </c>
      <c r="C277">
        <v>276</v>
      </c>
      <c r="D277" s="9">
        <v>45689</v>
      </c>
      <c r="E277" s="9"/>
      <c r="F277" t="s">
        <v>69</v>
      </c>
      <c r="G277" t="s">
        <v>70</v>
      </c>
      <c r="H277">
        <v>2357956000000</v>
      </c>
      <c r="I277" t="s">
        <v>337</v>
      </c>
      <c r="J277" s="1">
        <v>329906</v>
      </c>
      <c r="K277">
        <v>6.6666666666666599</v>
      </c>
      <c r="L277" s="1">
        <v>49485.9</v>
      </c>
      <c r="M277" s="1"/>
      <c r="N277" s="1"/>
      <c r="O277" s="1"/>
      <c r="P277">
        <v>107653705</v>
      </c>
    </row>
    <row r="278" spans="1:16" x14ac:dyDescent="0.35">
      <c r="A278">
        <v>2025</v>
      </c>
      <c r="B278">
        <v>6</v>
      </c>
      <c r="C278">
        <v>277</v>
      </c>
      <c r="D278" s="9">
        <v>45658</v>
      </c>
      <c r="E278" s="9"/>
      <c r="F278" t="s">
        <v>69</v>
      </c>
      <c r="G278" t="s">
        <v>88</v>
      </c>
      <c r="H278">
        <v>2277360900000</v>
      </c>
      <c r="I278" t="s">
        <v>338</v>
      </c>
      <c r="J278" s="1">
        <v>233114</v>
      </c>
      <c r="K278">
        <v>10</v>
      </c>
      <c r="L278" s="1">
        <v>23311.4</v>
      </c>
      <c r="M278" s="1"/>
      <c r="N278" s="1"/>
      <c r="O278" s="1"/>
      <c r="P278">
        <v>330415880</v>
      </c>
    </row>
    <row r="279" spans="1:16" x14ac:dyDescent="0.35">
      <c r="A279">
        <v>2025</v>
      </c>
      <c r="B279">
        <v>6</v>
      </c>
      <c r="C279">
        <v>278</v>
      </c>
      <c r="D279" s="9">
        <v>45658</v>
      </c>
      <c r="E279" s="9"/>
      <c r="F279" t="s">
        <v>69</v>
      </c>
      <c r="G279" t="s">
        <v>70</v>
      </c>
      <c r="H279">
        <v>2305557800000</v>
      </c>
      <c r="I279" t="s">
        <v>339</v>
      </c>
      <c r="J279" s="1">
        <v>228812</v>
      </c>
      <c r="K279">
        <v>6.6666666666666599</v>
      </c>
      <c r="L279" s="1">
        <v>34321.800000000003</v>
      </c>
      <c r="M279" s="1"/>
      <c r="N279" s="1"/>
      <c r="O279" s="1"/>
      <c r="P279">
        <v>330449202</v>
      </c>
    </row>
    <row r="280" spans="1:16" x14ac:dyDescent="0.35">
      <c r="A280">
        <v>2025</v>
      </c>
      <c r="B280">
        <v>6</v>
      </c>
      <c r="C280">
        <v>279</v>
      </c>
      <c r="D280" s="9">
        <v>45689</v>
      </c>
      <c r="E280" s="9"/>
      <c r="F280" t="s">
        <v>69</v>
      </c>
      <c r="G280" t="s">
        <v>70</v>
      </c>
      <c r="H280">
        <v>2307355000000</v>
      </c>
      <c r="I280" t="s">
        <v>340</v>
      </c>
      <c r="J280" s="1">
        <v>184992</v>
      </c>
      <c r="K280">
        <v>6.6666666666666599</v>
      </c>
      <c r="L280" s="1">
        <v>27748.799999999999</v>
      </c>
      <c r="M280" s="1"/>
      <c r="N280" s="1"/>
      <c r="O280" s="1"/>
      <c r="P280">
        <v>331943260</v>
      </c>
    </row>
    <row r="281" spans="1:16" x14ac:dyDescent="0.35">
      <c r="A281">
        <v>2025</v>
      </c>
      <c r="B281">
        <v>6</v>
      </c>
      <c r="C281">
        <v>280</v>
      </c>
      <c r="D281" s="9">
        <v>45627</v>
      </c>
      <c r="E281" s="9"/>
      <c r="F281" t="s">
        <v>69</v>
      </c>
      <c r="G281" t="s">
        <v>70</v>
      </c>
      <c r="H281">
        <v>2308369700000</v>
      </c>
      <c r="I281" t="s">
        <v>341</v>
      </c>
      <c r="J281" s="1">
        <v>183156</v>
      </c>
      <c r="K281">
        <v>6.6666666666666599</v>
      </c>
      <c r="L281" s="1">
        <v>27473.4</v>
      </c>
      <c r="M281" s="1"/>
      <c r="N281" s="1"/>
      <c r="O281" s="1"/>
      <c r="P281">
        <v>329135085</v>
      </c>
    </row>
    <row r="282" spans="1:16" x14ac:dyDescent="0.35">
      <c r="A282">
        <v>2025</v>
      </c>
      <c r="B282">
        <v>6</v>
      </c>
      <c r="C282">
        <v>281</v>
      </c>
      <c r="D282" s="9">
        <v>45627</v>
      </c>
      <c r="E282" s="9"/>
      <c r="F282" t="s">
        <v>69</v>
      </c>
      <c r="G282" t="s">
        <v>70</v>
      </c>
      <c r="H282">
        <v>2309937600000</v>
      </c>
      <c r="I282" t="s">
        <v>342</v>
      </c>
      <c r="J282" s="1">
        <v>218647</v>
      </c>
      <c r="K282">
        <v>6.6666666666666599</v>
      </c>
      <c r="L282" s="1">
        <v>32797.050000000003</v>
      </c>
      <c r="M282" s="1"/>
      <c r="N282" s="1"/>
      <c r="O282" s="1"/>
      <c r="P282">
        <v>329137396</v>
      </c>
    </row>
    <row r="283" spans="1:16" x14ac:dyDescent="0.35">
      <c r="A283">
        <v>2025</v>
      </c>
      <c r="B283">
        <v>6</v>
      </c>
      <c r="C283">
        <v>282</v>
      </c>
      <c r="D283" s="9">
        <v>45658</v>
      </c>
      <c r="E283" s="9"/>
      <c r="F283" t="s">
        <v>69</v>
      </c>
      <c r="G283" t="s">
        <v>88</v>
      </c>
      <c r="H283">
        <v>2313514400000</v>
      </c>
      <c r="I283" t="s">
        <v>343</v>
      </c>
      <c r="J283" s="1">
        <v>565896</v>
      </c>
      <c r="K283">
        <v>10</v>
      </c>
      <c r="L283" s="1">
        <v>56589.599999999999</v>
      </c>
      <c r="M283" s="1"/>
      <c r="N283" s="1"/>
      <c r="O283" s="1"/>
      <c r="P283">
        <v>330463096</v>
      </c>
    </row>
    <row r="284" spans="1:16" x14ac:dyDescent="0.35">
      <c r="A284">
        <v>2025</v>
      </c>
      <c r="B284">
        <v>6</v>
      </c>
      <c r="C284">
        <v>283</v>
      </c>
      <c r="D284" s="9">
        <v>45689</v>
      </c>
      <c r="E284" s="9"/>
      <c r="F284" t="s">
        <v>69</v>
      </c>
      <c r="G284" t="s">
        <v>88</v>
      </c>
      <c r="H284">
        <v>2313514400000</v>
      </c>
      <c r="I284" t="s">
        <v>343</v>
      </c>
      <c r="J284" s="1">
        <v>565896</v>
      </c>
      <c r="K284">
        <v>10</v>
      </c>
      <c r="L284" s="1">
        <v>56589.599999999999</v>
      </c>
      <c r="M284" s="1"/>
      <c r="N284" s="1"/>
      <c r="O284" s="1"/>
      <c r="P284">
        <v>331953384</v>
      </c>
    </row>
    <row r="285" spans="1:16" x14ac:dyDescent="0.35">
      <c r="A285">
        <v>2025</v>
      </c>
      <c r="B285">
        <v>6</v>
      </c>
      <c r="C285">
        <v>284</v>
      </c>
      <c r="D285" s="9">
        <v>45658</v>
      </c>
      <c r="E285" s="9"/>
      <c r="F285" t="s">
        <v>69</v>
      </c>
      <c r="G285" t="s">
        <v>70</v>
      </c>
      <c r="H285">
        <v>2318093200000</v>
      </c>
      <c r="I285" t="s">
        <v>344</v>
      </c>
      <c r="J285" s="1">
        <v>219380</v>
      </c>
      <c r="K285">
        <v>6.6666666666666599</v>
      </c>
      <c r="L285" s="1">
        <v>32907</v>
      </c>
      <c r="M285" s="1"/>
      <c r="N285" s="1"/>
      <c r="O285" s="1"/>
      <c r="P285">
        <v>330471263</v>
      </c>
    </row>
    <row r="286" spans="1:16" x14ac:dyDescent="0.35">
      <c r="A286">
        <v>2025</v>
      </c>
      <c r="B286">
        <v>6</v>
      </c>
      <c r="C286">
        <v>285</v>
      </c>
      <c r="D286" s="9">
        <v>45658</v>
      </c>
      <c r="E286" s="9"/>
      <c r="F286" t="s">
        <v>69</v>
      </c>
      <c r="G286" t="s">
        <v>127</v>
      </c>
      <c r="H286">
        <v>2312930700000</v>
      </c>
      <c r="I286" t="s">
        <v>345</v>
      </c>
      <c r="J286" s="1">
        <v>2416846</v>
      </c>
      <c r="K286">
        <v>6.6666666666666599</v>
      </c>
      <c r="L286" s="1">
        <v>362526.9</v>
      </c>
      <c r="M286" s="1"/>
      <c r="N286" s="1"/>
      <c r="O286" s="1"/>
      <c r="P286">
        <v>330462072</v>
      </c>
    </row>
    <row r="287" spans="1:16" x14ac:dyDescent="0.35">
      <c r="A287">
        <v>2025</v>
      </c>
      <c r="B287">
        <v>6</v>
      </c>
      <c r="C287">
        <v>286</v>
      </c>
      <c r="D287" s="9">
        <v>45658</v>
      </c>
      <c r="E287" s="9"/>
      <c r="F287" t="s">
        <v>69</v>
      </c>
      <c r="G287" t="s">
        <v>70</v>
      </c>
      <c r="H287">
        <v>2319949700000</v>
      </c>
      <c r="I287" t="s">
        <v>346</v>
      </c>
      <c r="J287" s="1">
        <v>841786</v>
      </c>
      <c r="K287">
        <v>6.6666666666666599</v>
      </c>
      <c r="L287" s="1">
        <v>126267.9</v>
      </c>
      <c r="M287" s="1"/>
      <c r="N287" s="1"/>
      <c r="O287" s="1"/>
      <c r="P287">
        <v>330261045</v>
      </c>
    </row>
    <row r="288" spans="1:16" x14ac:dyDescent="0.35">
      <c r="A288">
        <v>2025</v>
      </c>
      <c r="B288">
        <v>6</v>
      </c>
      <c r="C288">
        <v>287</v>
      </c>
      <c r="D288" s="9">
        <v>45689</v>
      </c>
      <c r="E288" s="9"/>
      <c r="F288" t="s">
        <v>69</v>
      </c>
      <c r="G288" t="s">
        <v>70</v>
      </c>
      <c r="H288">
        <v>2324243600000</v>
      </c>
      <c r="I288" t="s">
        <v>347</v>
      </c>
      <c r="J288" s="1">
        <v>241187</v>
      </c>
      <c r="K288">
        <v>6.6666666666666599</v>
      </c>
      <c r="L288" s="1">
        <v>36178.050000000003</v>
      </c>
      <c r="M288" s="1"/>
      <c r="N288" s="1"/>
      <c r="O288" s="1"/>
      <c r="P288">
        <v>331976377</v>
      </c>
    </row>
    <row r="289" spans="1:16" x14ac:dyDescent="0.35">
      <c r="A289">
        <v>2025</v>
      </c>
      <c r="B289">
        <v>6</v>
      </c>
      <c r="C289">
        <v>288</v>
      </c>
      <c r="D289" s="9">
        <v>45689</v>
      </c>
      <c r="E289" s="9"/>
      <c r="F289" t="s">
        <v>69</v>
      </c>
      <c r="G289" t="s">
        <v>70</v>
      </c>
      <c r="H289">
        <v>2280536800000</v>
      </c>
      <c r="I289" t="s">
        <v>348</v>
      </c>
      <c r="J289" s="1">
        <v>2188111</v>
      </c>
      <c r="K289">
        <v>6.6666666666666599</v>
      </c>
      <c r="L289" s="1">
        <v>328216.65000000002</v>
      </c>
      <c r="M289" s="1"/>
      <c r="N289" s="1"/>
      <c r="O289" s="1"/>
      <c r="P289">
        <v>331279202</v>
      </c>
    </row>
    <row r="290" spans="1:16" x14ac:dyDescent="0.35">
      <c r="A290">
        <v>2025</v>
      </c>
      <c r="B290">
        <v>6</v>
      </c>
      <c r="C290">
        <v>289</v>
      </c>
      <c r="D290" s="9">
        <v>45689</v>
      </c>
      <c r="E290" s="9"/>
      <c r="F290" t="s">
        <v>69</v>
      </c>
      <c r="G290" t="s">
        <v>349</v>
      </c>
      <c r="H290">
        <v>2305052900000</v>
      </c>
      <c r="I290" t="s">
        <v>350</v>
      </c>
      <c r="J290" s="1">
        <v>1275000</v>
      </c>
      <c r="K290">
        <v>5</v>
      </c>
      <c r="L290" s="1">
        <v>255000</v>
      </c>
      <c r="M290" s="1"/>
      <c r="N290" s="1"/>
      <c r="O290" s="1"/>
      <c r="P290">
        <v>331321996</v>
      </c>
    </row>
    <row r="291" spans="1:16" x14ac:dyDescent="0.35">
      <c r="A291">
        <v>2025</v>
      </c>
      <c r="B291">
        <v>6</v>
      </c>
      <c r="C291">
        <v>290</v>
      </c>
      <c r="D291" s="9">
        <v>45689</v>
      </c>
      <c r="E291" s="9"/>
      <c r="F291" t="s">
        <v>69</v>
      </c>
      <c r="G291" t="s">
        <v>349</v>
      </c>
      <c r="H291">
        <v>2305172500000</v>
      </c>
      <c r="I291" t="s">
        <v>351</v>
      </c>
      <c r="J291" s="1">
        <v>1275000</v>
      </c>
      <c r="K291">
        <v>5</v>
      </c>
      <c r="L291" s="1">
        <v>255000</v>
      </c>
      <c r="M291" s="1"/>
      <c r="N291" s="1"/>
      <c r="O291" s="1"/>
      <c r="P291">
        <v>331323711</v>
      </c>
    </row>
    <row r="292" spans="1:16" x14ac:dyDescent="0.35">
      <c r="A292">
        <v>2025</v>
      </c>
      <c r="B292">
        <v>6</v>
      </c>
      <c r="C292">
        <v>291</v>
      </c>
      <c r="D292" s="9">
        <v>45658</v>
      </c>
      <c r="E292" s="9"/>
      <c r="F292" t="s">
        <v>69</v>
      </c>
      <c r="G292" t="s">
        <v>70</v>
      </c>
      <c r="H292">
        <v>2330064400000</v>
      </c>
      <c r="I292" t="s">
        <v>352</v>
      </c>
      <c r="J292" s="1">
        <v>216616</v>
      </c>
      <c r="K292">
        <v>6.6666666666666599</v>
      </c>
      <c r="L292" s="1">
        <v>32492.400000000001</v>
      </c>
      <c r="M292" s="1"/>
      <c r="N292" s="1"/>
      <c r="O292" s="1"/>
      <c r="P292">
        <v>330505649</v>
      </c>
    </row>
    <row r="293" spans="1:16" x14ac:dyDescent="0.35">
      <c r="A293">
        <v>2025</v>
      </c>
      <c r="B293">
        <v>6</v>
      </c>
      <c r="C293">
        <v>292</v>
      </c>
      <c r="D293" s="9">
        <v>45627</v>
      </c>
      <c r="E293" s="9"/>
      <c r="F293" t="s">
        <v>69</v>
      </c>
      <c r="G293" t="s">
        <v>70</v>
      </c>
      <c r="H293">
        <v>2334825500000</v>
      </c>
      <c r="I293" t="s">
        <v>246</v>
      </c>
      <c r="J293" s="1">
        <v>1770238</v>
      </c>
      <c r="K293">
        <v>6.6666666666666599</v>
      </c>
      <c r="L293" s="1">
        <v>265535.7</v>
      </c>
      <c r="M293" s="1"/>
      <c r="N293" s="1"/>
      <c r="O293" s="1"/>
      <c r="P293">
        <v>329202174</v>
      </c>
    </row>
    <row r="294" spans="1:16" x14ac:dyDescent="0.35">
      <c r="A294">
        <v>2025</v>
      </c>
      <c r="B294">
        <v>6</v>
      </c>
      <c r="C294">
        <v>293</v>
      </c>
      <c r="D294" s="9">
        <v>45658</v>
      </c>
      <c r="E294" s="9"/>
      <c r="F294" t="s">
        <v>69</v>
      </c>
      <c r="G294" t="s">
        <v>70</v>
      </c>
      <c r="H294">
        <v>2334825500000</v>
      </c>
      <c r="I294" t="s">
        <v>246</v>
      </c>
      <c r="J294" s="1">
        <v>1770238</v>
      </c>
      <c r="K294">
        <v>6.6666666666666599</v>
      </c>
      <c r="L294" s="1">
        <v>265535.7</v>
      </c>
      <c r="M294" s="1"/>
      <c r="N294" s="1"/>
      <c r="O294" s="1"/>
      <c r="P294">
        <v>330520622</v>
      </c>
    </row>
    <row r="295" spans="1:16" x14ac:dyDescent="0.35">
      <c r="A295">
        <v>2025</v>
      </c>
      <c r="B295">
        <v>6</v>
      </c>
      <c r="C295">
        <v>294</v>
      </c>
      <c r="D295" s="9">
        <v>45689</v>
      </c>
      <c r="E295" s="9"/>
      <c r="F295" t="s">
        <v>69</v>
      </c>
      <c r="G295" t="s">
        <v>127</v>
      </c>
      <c r="H295">
        <v>2141436500000</v>
      </c>
      <c r="I295" t="s">
        <v>353</v>
      </c>
      <c r="J295" s="1">
        <v>1005106</v>
      </c>
      <c r="K295">
        <v>6.6666666666666599</v>
      </c>
      <c r="L295" s="1">
        <v>150765.9</v>
      </c>
      <c r="M295" s="1"/>
      <c r="N295" s="1"/>
      <c r="O295" s="1"/>
      <c r="P295">
        <v>331869556</v>
      </c>
    </row>
    <row r="296" spans="1:16" x14ac:dyDescent="0.35">
      <c r="A296">
        <v>2025</v>
      </c>
      <c r="B296">
        <v>6</v>
      </c>
      <c r="C296">
        <v>295</v>
      </c>
      <c r="D296" s="9">
        <v>45689</v>
      </c>
      <c r="E296" s="9"/>
      <c r="F296" t="s">
        <v>69</v>
      </c>
      <c r="G296" t="s">
        <v>70</v>
      </c>
      <c r="H296">
        <v>2267440800000</v>
      </c>
      <c r="I296" t="s">
        <v>354</v>
      </c>
      <c r="J296" s="1">
        <v>169246</v>
      </c>
      <c r="K296">
        <v>6.6666666666666599</v>
      </c>
      <c r="L296" s="1">
        <v>25386.9</v>
      </c>
      <c r="M296" s="1"/>
      <c r="N296" s="1"/>
      <c r="O296" s="1"/>
      <c r="P296">
        <v>331906077</v>
      </c>
    </row>
    <row r="297" spans="1:16" x14ac:dyDescent="0.35">
      <c r="A297">
        <v>2025</v>
      </c>
      <c r="B297">
        <v>6</v>
      </c>
      <c r="C297">
        <v>296</v>
      </c>
      <c r="D297" s="9">
        <v>45689</v>
      </c>
      <c r="E297" s="9"/>
      <c r="F297" t="s">
        <v>69</v>
      </c>
      <c r="G297" t="s">
        <v>105</v>
      </c>
      <c r="H297">
        <v>2284219700000</v>
      </c>
      <c r="I297" t="s">
        <v>355</v>
      </c>
      <c r="J297" s="1">
        <v>645817</v>
      </c>
      <c r="K297">
        <v>5</v>
      </c>
      <c r="L297" s="1">
        <v>129163.4</v>
      </c>
      <c r="M297" s="1"/>
      <c r="N297" s="1"/>
      <c r="O297" s="1"/>
      <c r="P297">
        <v>331295562</v>
      </c>
    </row>
    <row r="298" spans="1:16" x14ac:dyDescent="0.35">
      <c r="A298">
        <v>2025</v>
      </c>
      <c r="B298">
        <v>6</v>
      </c>
      <c r="C298">
        <v>297</v>
      </c>
      <c r="D298" s="9">
        <v>45658</v>
      </c>
      <c r="E298" s="9"/>
      <c r="F298" t="s">
        <v>69</v>
      </c>
      <c r="G298" t="s">
        <v>70</v>
      </c>
      <c r="H298">
        <v>2299603300000</v>
      </c>
      <c r="I298" t="s">
        <v>356</v>
      </c>
      <c r="J298" s="1">
        <v>173516</v>
      </c>
      <c r="K298">
        <v>6.6666666666666599</v>
      </c>
      <c r="L298" s="1">
        <v>26027.4</v>
      </c>
      <c r="M298" s="1"/>
      <c r="N298" s="1"/>
      <c r="O298" s="1"/>
      <c r="P298">
        <v>330443221</v>
      </c>
    </row>
    <row r="299" spans="1:16" x14ac:dyDescent="0.35">
      <c r="A299">
        <v>2025</v>
      </c>
      <c r="B299">
        <v>6</v>
      </c>
      <c r="C299">
        <v>298</v>
      </c>
      <c r="D299" s="9">
        <v>45689</v>
      </c>
      <c r="E299" s="9"/>
      <c r="F299" t="s">
        <v>69</v>
      </c>
      <c r="G299" t="s">
        <v>70</v>
      </c>
      <c r="H299">
        <v>2321031000000</v>
      </c>
      <c r="I299" t="s">
        <v>357</v>
      </c>
      <c r="J299" s="1">
        <v>2037462</v>
      </c>
      <c r="K299">
        <v>6.6666666666666599</v>
      </c>
      <c r="L299" s="1">
        <v>305619.3</v>
      </c>
      <c r="M299" s="1"/>
      <c r="N299" s="1"/>
      <c r="O299" s="1"/>
      <c r="P299">
        <v>331344535</v>
      </c>
    </row>
    <row r="300" spans="1:16" x14ac:dyDescent="0.35">
      <c r="A300">
        <v>2025</v>
      </c>
      <c r="B300">
        <v>6</v>
      </c>
      <c r="C300">
        <v>299</v>
      </c>
      <c r="D300" s="9">
        <v>45658</v>
      </c>
      <c r="E300" s="9"/>
      <c r="F300" t="s">
        <v>69</v>
      </c>
      <c r="G300" t="s">
        <v>70</v>
      </c>
      <c r="H300">
        <v>2324045100000</v>
      </c>
      <c r="I300" t="s">
        <v>358</v>
      </c>
      <c r="J300" s="1">
        <v>268714</v>
      </c>
      <c r="K300">
        <v>6.6666666666666599</v>
      </c>
      <c r="L300" s="1">
        <v>40307.1</v>
      </c>
      <c r="M300" s="1"/>
      <c r="N300" s="1"/>
      <c r="O300" s="1"/>
      <c r="P300">
        <v>330487780</v>
      </c>
    </row>
    <row r="301" spans="1:16" x14ac:dyDescent="0.35">
      <c r="A301">
        <v>2025</v>
      </c>
      <c r="B301">
        <v>6</v>
      </c>
      <c r="C301">
        <v>300</v>
      </c>
      <c r="D301" s="9">
        <v>45658</v>
      </c>
      <c r="E301" s="9"/>
      <c r="F301" t="s">
        <v>69</v>
      </c>
      <c r="G301" t="s">
        <v>70</v>
      </c>
      <c r="H301">
        <v>2343893800000</v>
      </c>
      <c r="I301" t="s">
        <v>359</v>
      </c>
      <c r="J301" s="1">
        <v>217850</v>
      </c>
      <c r="K301">
        <v>6.6666666666666599</v>
      </c>
      <c r="L301" s="1">
        <v>32677.5</v>
      </c>
      <c r="M301" s="1"/>
      <c r="N301" s="1"/>
      <c r="O301" s="1"/>
      <c r="P301">
        <v>330694351</v>
      </c>
    </row>
    <row r="302" spans="1:16" hidden="1" x14ac:dyDescent="0.35">
      <c r="A302">
        <v>2025</v>
      </c>
      <c r="B302">
        <v>6</v>
      </c>
      <c r="C302">
        <v>301</v>
      </c>
      <c r="D302">
        <v>122024</v>
      </c>
      <c r="F302" t="s">
        <v>11</v>
      </c>
      <c r="G302" t="s">
        <v>12</v>
      </c>
      <c r="H302">
        <v>94234947</v>
      </c>
      <c r="I302" t="s">
        <v>13</v>
      </c>
      <c r="J302" s="1">
        <v>1581600</v>
      </c>
      <c r="K302">
        <v>5</v>
      </c>
      <c r="L302" s="1">
        <v>79080</v>
      </c>
      <c r="M302" s="1"/>
      <c r="N302" s="1"/>
      <c r="O302" s="1"/>
    </row>
    <row r="303" spans="1:16" hidden="1" x14ac:dyDescent="0.35">
      <c r="A303">
        <v>2025</v>
      </c>
      <c r="B303">
        <v>6</v>
      </c>
      <c r="C303">
        <v>302</v>
      </c>
      <c r="D303">
        <v>122024</v>
      </c>
      <c r="F303" t="s">
        <v>11</v>
      </c>
      <c r="G303" t="s">
        <v>12</v>
      </c>
      <c r="H303">
        <v>94117252</v>
      </c>
      <c r="I303" t="s">
        <v>14</v>
      </c>
      <c r="J303" s="1">
        <v>1359900</v>
      </c>
      <c r="K303">
        <v>5</v>
      </c>
      <c r="L303" s="1">
        <v>67995</v>
      </c>
      <c r="M303" s="1"/>
      <c r="N303" s="1"/>
      <c r="O303" s="1"/>
    </row>
    <row r="304" spans="1:16" hidden="1" x14ac:dyDescent="0.35">
      <c r="A304">
        <v>2025</v>
      </c>
      <c r="B304">
        <v>6</v>
      </c>
      <c r="C304">
        <v>303</v>
      </c>
      <c r="D304">
        <v>122024</v>
      </c>
      <c r="F304" t="s">
        <v>11</v>
      </c>
      <c r="G304" t="s">
        <v>12</v>
      </c>
      <c r="H304">
        <v>94005464</v>
      </c>
      <c r="I304" t="s">
        <v>15</v>
      </c>
      <c r="J304" s="1">
        <v>79500</v>
      </c>
      <c r="K304">
        <v>5</v>
      </c>
      <c r="L304" s="1">
        <v>3975</v>
      </c>
      <c r="M304" s="1"/>
      <c r="N304" s="1"/>
      <c r="O304" s="1"/>
    </row>
    <row r="305" spans="1:18" hidden="1" x14ac:dyDescent="0.35">
      <c r="A305">
        <v>2025</v>
      </c>
      <c r="B305">
        <v>6</v>
      </c>
      <c r="C305">
        <v>304</v>
      </c>
      <c r="D305" s="2">
        <v>45709</v>
      </c>
      <c r="E305" s="2"/>
      <c r="F305" t="s">
        <v>52</v>
      </c>
      <c r="G305">
        <v>12</v>
      </c>
      <c r="H305">
        <v>70540</v>
      </c>
      <c r="I305" t="s">
        <v>53</v>
      </c>
      <c r="J305" s="1">
        <v>9191252</v>
      </c>
      <c r="K305">
        <v>17</v>
      </c>
      <c r="L305" s="1">
        <v>1562513</v>
      </c>
      <c r="M305" s="1"/>
      <c r="N305" s="1"/>
      <c r="O305" s="1"/>
      <c r="P305">
        <v>800156889</v>
      </c>
      <c r="Q305">
        <v>13</v>
      </c>
    </row>
    <row r="306" spans="1:18" hidden="1" x14ac:dyDescent="0.35">
      <c r="A306">
        <v>2025</v>
      </c>
      <c r="B306">
        <v>6</v>
      </c>
      <c r="C306">
        <v>305</v>
      </c>
      <c r="D306" s="2">
        <v>45705</v>
      </c>
      <c r="E306" s="2"/>
      <c r="F306" t="s">
        <v>20</v>
      </c>
      <c r="G306" t="s">
        <v>21</v>
      </c>
      <c r="H306">
        <v>300000217</v>
      </c>
      <c r="I306" t="s">
        <v>22</v>
      </c>
      <c r="J306">
        <v>3513060</v>
      </c>
      <c r="K306">
        <v>0.125</v>
      </c>
      <c r="L306">
        <v>439132.5</v>
      </c>
      <c r="P306">
        <v>79670905</v>
      </c>
      <c r="R306">
        <v>52695.9</v>
      </c>
    </row>
    <row r="307" spans="1:18" hidden="1" x14ac:dyDescent="0.35">
      <c r="A307">
        <v>2025</v>
      </c>
      <c r="B307">
        <v>6</v>
      </c>
      <c r="C307">
        <v>306</v>
      </c>
      <c r="D307" s="2">
        <v>45706</v>
      </c>
      <c r="E307" s="2"/>
      <c r="F307" t="s">
        <v>20</v>
      </c>
      <c r="G307" t="s">
        <v>21</v>
      </c>
      <c r="H307">
        <v>300002514</v>
      </c>
      <c r="I307" t="s">
        <v>23</v>
      </c>
      <c r="J307">
        <v>1411293</v>
      </c>
      <c r="K307">
        <v>0.125</v>
      </c>
      <c r="L307">
        <v>176411.63</v>
      </c>
      <c r="P307">
        <v>43878605</v>
      </c>
      <c r="R307">
        <v>21169.39</v>
      </c>
    </row>
    <row r="308" spans="1:18" hidden="1" x14ac:dyDescent="0.35">
      <c r="A308">
        <v>2025</v>
      </c>
      <c r="B308">
        <v>6</v>
      </c>
      <c r="C308">
        <v>307</v>
      </c>
      <c r="D308" s="2">
        <v>45706</v>
      </c>
      <c r="E308" s="2"/>
      <c r="F308" t="s">
        <v>20</v>
      </c>
      <c r="G308" t="s">
        <v>21</v>
      </c>
      <c r="H308">
        <v>300002410</v>
      </c>
      <c r="I308" t="s">
        <v>24</v>
      </c>
      <c r="J308">
        <v>2391893</v>
      </c>
      <c r="K308">
        <v>0.125</v>
      </c>
      <c r="L308">
        <v>298986.63</v>
      </c>
      <c r="P308">
        <v>43903185</v>
      </c>
      <c r="R308">
        <v>35878.39</v>
      </c>
    </row>
    <row r="309" spans="1:18" hidden="1" x14ac:dyDescent="0.35">
      <c r="A309">
        <v>2025</v>
      </c>
      <c r="B309">
        <v>6</v>
      </c>
      <c r="C309">
        <v>308</v>
      </c>
      <c r="D309" s="2">
        <v>45706</v>
      </c>
      <c r="E309" s="2"/>
      <c r="F309" t="s">
        <v>20</v>
      </c>
      <c r="G309" t="s">
        <v>21</v>
      </c>
      <c r="H309">
        <v>300002573</v>
      </c>
      <c r="I309" t="s">
        <v>25</v>
      </c>
      <c r="J309">
        <v>2119813</v>
      </c>
      <c r="K309">
        <v>0.125</v>
      </c>
      <c r="L309">
        <v>264976.63</v>
      </c>
      <c r="P309">
        <v>98546255</v>
      </c>
      <c r="R309">
        <v>31797.19</v>
      </c>
    </row>
    <row r="310" spans="1:18" hidden="1" x14ac:dyDescent="0.35">
      <c r="A310">
        <v>2025</v>
      </c>
      <c r="B310">
        <v>6</v>
      </c>
      <c r="C310">
        <v>309</v>
      </c>
      <c r="D310" s="2">
        <v>45707</v>
      </c>
      <c r="E310" s="2"/>
      <c r="F310" t="s">
        <v>20</v>
      </c>
      <c r="G310" t="s">
        <v>21</v>
      </c>
      <c r="H310">
        <v>300002566</v>
      </c>
      <c r="I310" t="s">
        <v>26</v>
      </c>
      <c r="J310">
        <v>2217138</v>
      </c>
      <c r="K310">
        <v>0.125</v>
      </c>
      <c r="L310">
        <v>277142.25</v>
      </c>
      <c r="P310">
        <v>43725687</v>
      </c>
      <c r="R310">
        <v>33257.07</v>
      </c>
    </row>
    <row r="311" spans="1:18" hidden="1" x14ac:dyDescent="0.35">
      <c r="A311">
        <v>2025</v>
      </c>
      <c r="B311">
        <v>6</v>
      </c>
      <c r="C311">
        <v>310</v>
      </c>
      <c r="D311" s="2">
        <v>45707</v>
      </c>
      <c r="E311" s="2"/>
      <c r="F311" t="s">
        <v>20</v>
      </c>
      <c r="G311" t="s">
        <v>27</v>
      </c>
      <c r="H311">
        <v>101000411</v>
      </c>
      <c r="I311" t="s">
        <v>28</v>
      </c>
      <c r="J311">
        <v>523000</v>
      </c>
      <c r="K311">
        <v>0.15</v>
      </c>
      <c r="L311">
        <v>78450</v>
      </c>
      <c r="P311">
        <v>800187947</v>
      </c>
      <c r="R311">
        <v>0</v>
      </c>
    </row>
    <row r="312" spans="1:18" hidden="1" x14ac:dyDescent="0.35">
      <c r="A312">
        <v>2025</v>
      </c>
      <c r="B312">
        <v>6</v>
      </c>
      <c r="C312">
        <v>311</v>
      </c>
      <c r="D312" s="2">
        <v>45707</v>
      </c>
      <c r="E312" s="2"/>
      <c r="F312" t="s">
        <v>20</v>
      </c>
      <c r="G312" t="s">
        <v>29</v>
      </c>
      <c r="H312">
        <v>101001332</v>
      </c>
      <c r="I312" t="s">
        <v>28</v>
      </c>
      <c r="J312">
        <v>250000</v>
      </c>
      <c r="K312">
        <v>0.22</v>
      </c>
      <c r="L312">
        <v>55000</v>
      </c>
      <c r="P312">
        <v>800187947</v>
      </c>
      <c r="R312">
        <v>0</v>
      </c>
    </row>
    <row r="313" spans="1:18" hidden="1" x14ac:dyDescent="0.35">
      <c r="A313">
        <v>2025</v>
      </c>
      <c r="B313">
        <v>6</v>
      </c>
      <c r="C313">
        <v>312</v>
      </c>
      <c r="D313" s="2">
        <v>45708</v>
      </c>
      <c r="E313" s="2"/>
      <c r="F313" t="s">
        <v>20</v>
      </c>
      <c r="G313" t="s">
        <v>21</v>
      </c>
      <c r="H313">
        <v>300001496</v>
      </c>
      <c r="I313" t="s">
        <v>30</v>
      </c>
      <c r="J313">
        <v>-2454884.2999999998</v>
      </c>
      <c r="K313">
        <v>0.125</v>
      </c>
      <c r="L313">
        <v>-306860.53999999998</v>
      </c>
      <c r="P313">
        <v>1034987730</v>
      </c>
      <c r="R313">
        <v>-36823.26</v>
      </c>
    </row>
    <row r="314" spans="1:18" hidden="1" x14ac:dyDescent="0.35">
      <c r="A314">
        <v>2025</v>
      </c>
      <c r="B314">
        <v>6</v>
      </c>
      <c r="C314">
        <v>313</v>
      </c>
      <c r="D314" s="2">
        <v>45708</v>
      </c>
      <c r="E314" s="2"/>
      <c r="F314" t="s">
        <v>20</v>
      </c>
      <c r="G314" t="s">
        <v>21</v>
      </c>
      <c r="H314">
        <v>300002635</v>
      </c>
      <c r="I314" t="s">
        <v>31</v>
      </c>
      <c r="J314">
        <v>2849589</v>
      </c>
      <c r="K314">
        <v>0.125</v>
      </c>
      <c r="L314">
        <v>356198.63</v>
      </c>
      <c r="P314">
        <v>41761418</v>
      </c>
      <c r="R314">
        <v>42743.83</v>
      </c>
    </row>
    <row r="315" spans="1:18" hidden="1" x14ac:dyDescent="0.35">
      <c r="A315">
        <v>2025</v>
      </c>
      <c r="B315">
        <v>6</v>
      </c>
      <c r="C315">
        <v>314</v>
      </c>
      <c r="D315" s="2">
        <v>45708</v>
      </c>
      <c r="E315" s="2"/>
      <c r="F315" t="s">
        <v>20</v>
      </c>
      <c r="G315" t="s">
        <v>32</v>
      </c>
      <c r="H315">
        <v>101074862</v>
      </c>
      <c r="I315" t="s">
        <v>33</v>
      </c>
      <c r="J315">
        <v>145184.03</v>
      </c>
      <c r="K315">
        <v>0.22</v>
      </c>
      <c r="L315">
        <v>31940.49</v>
      </c>
      <c r="P315">
        <v>1035850495</v>
      </c>
      <c r="R315">
        <v>0</v>
      </c>
    </row>
    <row r="316" spans="1:18" hidden="1" x14ac:dyDescent="0.35">
      <c r="A316">
        <v>2025</v>
      </c>
      <c r="B316">
        <v>6</v>
      </c>
      <c r="C316">
        <v>315</v>
      </c>
      <c r="D316" s="2">
        <v>45709</v>
      </c>
      <c r="E316" s="2"/>
      <c r="F316" t="s">
        <v>20</v>
      </c>
      <c r="G316" t="s">
        <v>32</v>
      </c>
      <c r="H316">
        <v>101067432</v>
      </c>
      <c r="I316" t="s">
        <v>28</v>
      </c>
      <c r="J316">
        <v>2159523</v>
      </c>
      <c r="K316">
        <v>0.22</v>
      </c>
      <c r="L316">
        <v>475095.06</v>
      </c>
      <c r="P316">
        <v>800187947</v>
      </c>
      <c r="R316">
        <v>0</v>
      </c>
    </row>
    <row r="317" spans="1:18" hidden="1" x14ac:dyDescent="0.35">
      <c r="A317">
        <v>2025</v>
      </c>
      <c r="B317">
        <v>6</v>
      </c>
      <c r="C317">
        <v>316</v>
      </c>
      <c r="D317" s="2">
        <v>45713</v>
      </c>
      <c r="E317" s="2"/>
      <c r="F317" t="s">
        <v>20</v>
      </c>
      <c r="G317" t="s">
        <v>29</v>
      </c>
      <c r="H317">
        <v>101001537</v>
      </c>
      <c r="I317" t="s">
        <v>34</v>
      </c>
      <c r="J317">
        <v>473055</v>
      </c>
      <c r="K317">
        <v>0.22</v>
      </c>
      <c r="L317">
        <v>104072.1</v>
      </c>
      <c r="P317">
        <v>901373701</v>
      </c>
      <c r="R317">
        <v>0</v>
      </c>
    </row>
    <row r="318" spans="1:18" hidden="1" x14ac:dyDescent="0.35">
      <c r="A318">
        <v>2025</v>
      </c>
      <c r="B318">
        <v>6</v>
      </c>
      <c r="C318">
        <v>317</v>
      </c>
      <c r="D318" s="2">
        <v>45713</v>
      </c>
      <c r="E318" s="2"/>
      <c r="F318" t="s">
        <v>20</v>
      </c>
      <c r="G318" t="s">
        <v>35</v>
      </c>
      <c r="H318">
        <v>101009880</v>
      </c>
      <c r="I318" t="s">
        <v>36</v>
      </c>
      <c r="J318">
        <v>5731765</v>
      </c>
      <c r="K318">
        <v>0.125</v>
      </c>
      <c r="L318">
        <v>716470.63</v>
      </c>
      <c r="P318">
        <v>15517818</v>
      </c>
      <c r="R318">
        <v>0</v>
      </c>
    </row>
    <row r="319" spans="1:18" hidden="1" x14ac:dyDescent="0.35">
      <c r="A319">
        <v>2025</v>
      </c>
      <c r="B319">
        <v>6</v>
      </c>
      <c r="C319">
        <v>318</v>
      </c>
      <c r="D319" s="2">
        <v>45714</v>
      </c>
      <c r="E319" s="2"/>
      <c r="F319" t="s">
        <v>20</v>
      </c>
      <c r="G319" t="s">
        <v>21</v>
      </c>
      <c r="H319">
        <v>101049183</v>
      </c>
      <c r="I319" t="s">
        <v>37</v>
      </c>
      <c r="J319">
        <v>1886343.2</v>
      </c>
      <c r="K319">
        <v>0.125</v>
      </c>
      <c r="L319">
        <v>235792.9</v>
      </c>
      <c r="P319">
        <v>70064340</v>
      </c>
      <c r="R319">
        <v>28295.14</v>
      </c>
    </row>
    <row r="320" spans="1:18" hidden="1" x14ac:dyDescent="0.35">
      <c r="A320">
        <v>2025</v>
      </c>
      <c r="B320">
        <v>6</v>
      </c>
      <c r="C320">
        <v>319</v>
      </c>
      <c r="D320" s="2">
        <v>45714</v>
      </c>
      <c r="E320" s="2"/>
      <c r="F320" t="s">
        <v>20</v>
      </c>
      <c r="G320" t="s">
        <v>21</v>
      </c>
      <c r="H320">
        <v>300002672</v>
      </c>
      <c r="I320" t="s">
        <v>38</v>
      </c>
      <c r="J320">
        <v>1855678</v>
      </c>
      <c r="K320">
        <v>0.125</v>
      </c>
      <c r="L320">
        <v>231959.75</v>
      </c>
      <c r="P320">
        <v>1128418271</v>
      </c>
      <c r="R320">
        <v>27835.17</v>
      </c>
    </row>
    <row r="321" spans="1:18" hidden="1" x14ac:dyDescent="0.35">
      <c r="A321">
        <v>2025</v>
      </c>
      <c r="B321">
        <v>6</v>
      </c>
      <c r="C321">
        <v>320</v>
      </c>
      <c r="D321" s="2">
        <v>45716</v>
      </c>
      <c r="E321" s="2"/>
      <c r="F321" t="s">
        <v>20</v>
      </c>
      <c r="G321" t="s">
        <v>21</v>
      </c>
      <c r="H321">
        <v>300002328</v>
      </c>
      <c r="I321" t="s">
        <v>39</v>
      </c>
      <c r="J321">
        <v>2192133</v>
      </c>
      <c r="K321">
        <v>0.125</v>
      </c>
      <c r="L321">
        <v>274016.63</v>
      </c>
      <c r="P321">
        <v>1017251133</v>
      </c>
      <c r="R321">
        <v>32881.99</v>
      </c>
    </row>
    <row r="322" spans="1:18" hidden="1" x14ac:dyDescent="0.35">
      <c r="A322">
        <v>2025</v>
      </c>
      <c r="B322">
        <v>6</v>
      </c>
      <c r="C322">
        <v>321</v>
      </c>
      <c r="D322" s="2">
        <v>45716</v>
      </c>
      <c r="E322" s="2"/>
      <c r="F322" t="s">
        <v>20</v>
      </c>
      <c r="G322" t="s">
        <v>21</v>
      </c>
      <c r="H322">
        <v>101048035</v>
      </c>
      <c r="I322" t="s">
        <v>40</v>
      </c>
      <c r="J322">
        <v>3919509</v>
      </c>
      <c r="K322">
        <v>0.125</v>
      </c>
      <c r="L322">
        <v>489938.63</v>
      </c>
      <c r="P322">
        <v>800241427</v>
      </c>
      <c r="R322">
        <v>58792.63</v>
      </c>
    </row>
    <row r="323" spans="1:18" hidden="1" x14ac:dyDescent="0.35">
      <c r="A323">
        <v>2025</v>
      </c>
      <c r="B323">
        <v>6</v>
      </c>
      <c r="C323">
        <v>322</v>
      </c>
      <c r="D323" s="2">
        <v>45716</v>
      </c>
      <c r="E323" s="2"/>
      <c r="F323" t="s">
        <v>20</v>
      </c>
      <c r="G323" t="s">
        <v>41</v>
      </c>
      <c r="H323">
        <v>101000957</v>
      </c>
      <c r="I323" t="s">
        <v>42</v>
      </c>
      <c r="J323">
        <v>1617779.09</v>
      </c>
      <c r="K323">
        <v>0.15</v>
      </c>
      <c r="L323">
        <v>242666.86</v>
      </c>
      <c r="P323">
        <v>901895952</v>
      </c>
      <c r="R323">
        <v>0</v>
      </c>
    </row>
    <row r="324" spans="1:18" hidden="1" x14ac:dyDescent="0.35">
      <c r="A324">
        <v>2025</v>
      </c>
      <c r="B324">
        <v>6</v>
      </c>
      <c r="C324">
        <v>323</v>
      </c>
      <c r="D324" s="2">
        <v>45712</v>
      </c>
      <c r="E324" s="2"/>
      <c r="F324" t="s">
        <v>20</v>
      </c>
      <c r="G324" t="s">
        <v>21</v>
      </c>
      <c r="H324">
        <v>101046946</v>
      </c>
      <c r="I324" t="s">
        <v>43</v>
      </c>
      <c r="J324">
        <v>-1988866.13</v>
      </c>
      <c r="K324">
        <v>0.125</v>
      </c>
      <c r="L324">
        <v>-248608.27</v>
      </c>
      <c r="P324">
        <v>1040320269</v>
      </c>
      <c r="R324">
        <v>-29832.99</v>
      </c>
    </row>
    <row r="325" spans="1:18" hidden="1" x14ac:dyDescent="0.35">
      <c r="A325">
        <v>2025</v>
      </c>
      <c r="B325">
        <v>6</v>
      </c>
      <c r="C325">
        <v>324</v>
      </c>
      <c r="D325" s="2">
        <v>45728</v>
      </c>
      <c r="E325" s="2"/>
      <c r="F325" t="s">
        <v>44</v>
      </c>
      <c r="G325" t="s">
        <v>45</v>
      </c>
      <c r="H325">
        <v>28712</v>
      </c>
      <c r="I325" t="s">
        <v>46</v>
      </c>
      <c r="J325">
        <v>508351</v>
      </c>
      <c r="K325">
        <v>2.81E-2</v>
      </c>
      <c r="L325">
        <v>14284</v>
      </c>
    </row>
    <row r="326" spans="1:18" hidden="1" x14ac:dyDescent="0.35">
      <c r="A326">
        <v>2025</v>
      </c>
      <c r="B326">
        <v>6</v>
      </c>
      <c r="C326">
        <v>325</v>
      </c>
      <c r="D326" s="2">
        <v>45728</v>
      </c>
      <c r="E326" s="2"/>
      <c r="F326" t="s">
        <v>44</v>
      </c>
      <c r="G326" t="s">
        <v>47</v>
      </c>
      <c r="H326">
        <v>88148</v>
      </c>
      <c r="I326" t="s">
        <v>48</v>
      </c>
      <c r="J326">
        <v>595597.82999999996</v>
      </c>
      <c r="K326">
        <v>2.87E-2</v>
      </c>
      <c r="L326">
        <v>17391</v>
      </c>
    </row>
    <row r="327" spans="1:18" hidden="1" x14ac:dyDescent="0.35">
      <c r="A327">
        <v>2025</v>
      </c>
      <c r="B327">
        <v>6</v>
      </c>
      <c r="C327">
        <v>326</v>
      </c>
      <c r="D327" s="2">
        <v>45728</v>
      </c>
      <c r="E327" s="2"/>
      <c r="F327" t="s">
        <v>44</v>
      </c>
      <c r="G327" t="s">
        <v>49</v>
      </c>
      <c r="H327">
        <v>30031</v>
      </c>
      <c r="I327" t="s">
        <v>50</v>
      </c>
      <c r="J327">
        <v>180333</v>
      </c>
      <c r="K327">
        <v>0.03</v>
      </c>
      <c r="L327">
        <v>5410</v>
      </c>
    </row>
    <row r="328" spans="1:18" hidden="1" x14ac:dyDescent="0.35">
      <c r="A328">
        <v>2025</v>
      </c>
      <c r="B328">
        <v>6</v>
      </c>
      <c r="C328">
        <v>327</v>
      </c>
      <c r="D328" s="2">
        <v>45728</v>
      </c>
      <c r="E328" s="2"/>
      <c r="F328" t="s">
        <v>44</v>
      </c>
      <c r="G328" t="s">
        <v>49</v>
      </c>
      <c r="H328">
        <v>30029</v>
      </c>
      <c r="I328" t="s">
        <v>51</v>
      </c>
      <c r="J328">
        <v>705082.17</v>
      </c>
      <c r="K328">
        <v>0.03</v>
      </c>
      <c r="L328">
        <v>253830</v>
      </c>
    </row>
    <row r="329" spans="1:18" hidden="1" x14ac:dyDescent="0.35">
      <c r="A329">
        <v>2025</v>
      </c>
      <c r="B329">
        <v>6</v>
      </c>
      <c r="C329">
        <v>328</v>
      </c>
      <c r="D329" s="2">
        <v>45728</v>
      </c>
      <c r="E329" s="2"/>
      <c r="F329" t="s">
        <v>44</v>
      </c>
      <c r="G329" t="s">
        <v>49</v>
      </c>
      <c r="H329">
        <v>30031</v>
      </c>
      <c r="I329" t="s">
        <v>50</v>
      </c>
      <c r="J329">
        <v>446884.33</v>
      </c>
      <c r="K329">
        <v>0.03</v>
      </c>
      <c r="L329">
        <v>160878</v>
      </c>
    </row>
  </sheetData>
  <autoFilter ref="A1:R329" xr:uid="{1D1252F7-33D4-41CE-9A51-75DE5DA5513B}">
    <filterColumn colId="5">
      <filters>
        <filter val="ALLIANZ SEGUROS S.A.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47C39-307F-4CA9-B4F1-62DB47A67418}">
  <sheetPr codeName="Hoja1">
    <tabColor theme="5" tint="0.79998168889431442"/>
  </sheetPr>
  <dimension ref="A1:D20"/>
  <sheetViews>
    <sheetView showGridLines="0" workbookViewId="0">
      <selection activeCell="A3" sqref="A3:A20"/>
    </sheetView>
  </sheetViews>
  <sheetFormatPr baseColWidth="10" defaultRowHeight="14.5" x14ac:dyDescent="0.35"/>
  <cols>
    <col min="1" max="1" width="22.81640625" customWidth="1"/>
    <col min="2" max="2" width="17.36328125" customWidth="1"/>
    <col min="3" max="3" width="16.54296875" customWidth="1"/>
    <col min="4" max="4" width="52.81640625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 t="s">
        <v>60</v>
      </c>
      <c r="C2" t="b">
        <v>0</v>
      </c>
    </row>
    <row r="3" spans="1:4" ht="20.5" customHeight="1" x14ac:dyDescent="0.35">
      <c r="A3" t="s">
        <v>368</v>
      </c>
      <c r="C3" t="b">
        <v>1</v>
      </c>
      <c r="D3" t="str">
        <f>+"C:\Usuario\"&amp;TablaSeleccion[[#This Row],[Empresa]]&amp;".xlsx"</f>
        <v>C:\Usuario\Carpeta\Archivo1.xlsx</v>
      </c>
    </row>
    <row r="4" spans="1:4" ht="20.5" customHeight="1" x14ac:dyDescent="0.35">
      <c r="A4" t="s">
        <v>369</v>
      </c>
      <c r="C4" t="b">
        <v>0</v>
      </c>
      <c r="D4" t="str">
        <f>+"C:\Usuario\"&amp;TablaSeleccion[[#This Row],[Empresa]]&amp;".xlsx"</f>
        <v>C:\Usuario\Carpeta\Archivo2.xlsx</v>
      </c>
    </row>
    <row r="5" spans="1:4" ht="20.5" customHeight="1" x14ac:dyDescent="0.35">
      <c r="A5" t="s">
        <v>370</v>
      </c>
      <c r="C5" t="b">
        <v>1</v>
      </c>
      <c r="D5" t="str">
        <f>+"C:\Usuario\"&amp;TablaSeleccion[[#This Row],[Empresa]]&amp;".xlsx"</f>
        <v>C:\Usuario\Carpeta\Archivo3.xlsx</v>
      </c>
    </row>
    <row r="6" spans="1:4" ht="20.5" customHeight="1" x14ac:dyDescent="0.35">
      <c r="A6" t="s">
        <v>371</v>
      </c>
      <c r="C6" t="b">
        <v>0</v>
      </c>
      <c r="D6" t="str">
        <f>+"C:\Usuario\"&amp;TablaSeleccion[[#This Row],[Empresa]]&amp;".xlsx"</f>
        <v>C:\Usuario\Carpeta\Archivo4.xlsx</v>
      </c>
    </row>
    <row r="7" spans="1:4" ht="20.5" customHeight="1" x14ac:dyDescent="0.35">
      <c r="A7" t="s">
        <v>372</v>
      </c>
      <c r="C7" t="b">
        <v>1</v>
      </c>
      <c r="D7" t="str">
        <f>+"C:\Usuario\"&amp;TablaSeleccion[[#This Row],[Empresa]]&amp;".xlsx"</f>
        <v>C:\Usuario\Carpeta\Archivo5.xlsx</v>
      </c>
    </row>
    <row r="8" spans="1:4" ht="20.5" customHeight="1" x14ac:dyDescent="0.35">
      <c r="A8" t="s">
        <v>373</v>
      </c>
      <c r="C8" t="b">
        <v>1</v>
      </c>
      <c r="D8" t="str">
        <f>+"C:\Usuario\"&amp;TablaSeleccion[[#This Row],[Empresa]]&amp;".xlsx"</f>
        <v>C:\Usuario\Carpeta\Archivo6.xlsx</v>
      </c>
    </row>
    <row r="9" spans="1:4" ht="20.5" customHeight="1" x14ac:dyDescent="0.35">
      <c r="A9" t="s">
        <v>374</v>
      </c>
      <c r="C9" t="b">
        <v>0</v>
      </c>
      <c r="D9" t="str">
        <f>+"C:\Usuario\"&amp;TablaSeleccion[[#This Row],[Empresa]]&amp;".xlsx"</f>
        <v>C:\Usuario\Carpeta\Archivo7.xlsx</v>
      </c>
    </row>
    <row r="10" spans="1:4" ht="20.5" customHeight="1" x14ac:dyDescent="0.35">
      <c r="A10" t="s">
        <v>375</v>
      </c>
      <c r="C10" t="b">
        <v>0</v>
      </c>
      <c r="D10" t="str">
        <f>+"C:\Usuario\"&amp;TablaSeleccion[[#This Row],[Empresa]]&amp;".xlsx"</f>
        <v>C:\Usuario\Carpeta\Archivo8.xlsx</v>
      </c>
    </row>
    <row r="11" spans="1:4" ht="20.5" customHeight="1" x14ac:dyDescent="0.35">
      <c r="A11" t="s">
        <v>376</v>
      </c>
      <c r="C11" t="b">
        <v>1</v>
      </c>
      <c r="D11" t="str">
        <f>+"C:\Usuario\"&amp;TablaSeleccion[[#This Row],[Empresa]]&amp;".xlsx"</f>
        <v>C:\Usuario\Carpeta\Archivo9.xlsx</v>
      </c>
    </row>
    <row r="12" spans="1:4" ht="20.5" customHeight="1" x14ac:dyDescent="0.35">
      <c r="A12" t="s">
        <v>377</v>
      </c>
      <c r="C12" t="b">
        <v>1</v>
      </c>
      <c r="D12" t="str">
        <f>+"C:\Usuario\"&amp;TablaSeleccion[[#This Row],[Empresa]]&amp;".xlsx"</f>
        <v>C:\Usuario\Carpeta\Archivo10.xlsx</v>
      </c>
    </row>
    <row r="13" spans="1:4" ht="20.5" customHeight="1" x14ac:dyDescent="0.35">
      <c r="A13" t="s">
        <v>378</v>
      </c>
      <c r="C13" t="b">
        <v>0</v>
      </c>
      <c r="D13" t="str">
        <f>+"C:\Usuario\"&amp;TablaSeleccion[[#This Row],[Empresa]]&amp;".xlsx"</f>
        <v>C:\Usuario\Carpeta\Archivo11.xlsx</v>
      </c>
    </row>
    <row r="14" spans="1:4" ht="20.5" customHeight="1" x14ac:dyDescent="0.35">
      <c r="A14" t="s">
        <v>379</v>
      </c>
      <c r="C14" t="b">
        <v>0</v>
      </c>
      <c r="D14" t="str">
        <f>+"C:\Usuario\"&amp;TablaSeleccion[[#This Row],[Empresa]]&amp;".xlsx"</f>
        <v>C:\Usuario\Carpeta\Archivo12.xlsx</v>
      </c>
    </row>
    <row r="15" spans="1:4" ht="20.5" customHeight="1" x14ac:dyDescent="0.35">
      <c r="A15" t="s">
        <v>380</v>
      </c>
      <c r="C15" t="b">
        <v>0</v>
      </c>
      <c r="D15" t="str">
        <f>+"C:\Usuario\"&amp;TablaSeleccion[[#This Row],[Empresa]]&amp;".xlsx"</f>
        <v>C:\Usuario\Carpeta\Archivo13.xlsx</v>
      </c>
    </row>
    <row r="16" spans="1:4" ht="20.5" customHeight="1" x14ac:dyDescent="0.35">
      <c r="A16" t="s">
        <v>381</v>
      </c>
      <c r="C16" t="b">
        <v>0</v>
      </c>
      <c r="D16" t="str">
        <f>+"C:\Usuario\"&amp;TablaSeleccion[[#This Row],[Empresa]]&amp;".xlsx"</f>
        <v>C:\Usuario\Carpeta\Archivo14.xlsx</v>
      </c>
    </row>
    <row r="17" spans="1:4" ht="20.5" customHeight="1" x14ac:dyDescent="0.35">
      <c r="A17" t="s">
        <v>382</v>
      </c>
      <c r="C17" t="b">
        <v>0</v>
      </c>
      <c r="D17" t="str">
        <f>+"C:\Usuario\"&amp;TablaSeleccion[[#This Row],[Empresa]]&amp;".xlsx"</f>
        <v>C:\Usuario\Carpeta\Archivo15.xlsx</v>
      </c>
    </row>
    <row r="18" spans="1:4" ht="20.5" customHeight="1" x14ac:dyDescent="0.35">
      <c r="A18" t="s">
        <v>383</v>
      </c>
      <c r="C18" t="b">
        <v>0</v>
      </c>
      <c r="D18" t="str">
        <f>+"C:\Usuario\"&amp;TablaSeleccion[[#This Row],[Empresa]]&amp;".xlsx"</f>
        <v>C:\Usuario\Carpeta\Archivo16.xlsx</v>
      </c>
    </row>
    <row r="19" spans="1:4" ht="20.5" customHeight="1" x14ac:dyDescent="0.35">
      <c r="A19" t="s">
        <v>384</v>
      </c>
      <c r="C19" t="b">
        <v>0</v>
      </c>
      <c r="D19" t="str">
        <f>+"C:\Usuario\"&amp;TablaSeleccion[[#This Row],[Empresa]]&amp;".xlsx"</f>
        <v>C:\Usuario\Carpeta\Archivo17.xlsx</v>
      </c>
    </row>
    <row r="20" spans="1:4" x14ac:dyDescent="0.35">
      <c r="A20" t="s">
        <v>385</v>
      </c>
      <c r="C20" t="b">
        <v>0</v>
      </c>
      <c r="D20" t="str">
        <f>+"C:\Usuario\"&amp;TablaSeleccion[[#This Row],[Empresa]]&amp;".xlsx"</f>
        <v>C:\Usuario\Carpeta\Archivo18.xlsx</v>
      </c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4" r:id="rId3" name="CheckTodos">
          <controlPr defaultSize="0" autoLine="0" linkedCell="C2" r:id="rId4">
            <anchor moveWithCells="1">
              <from>
                <xdr:col>1</xdr:col>
                <xdr:colOff>177800</xdr:colOff>
                <xdr:row>1</xdr:row>
                <xdr:rowOff>0</xdr:rowOff>
              </from>
              <to>
                <xdr:col>1</xdr:col>
                <xdr:colOff>355600</xdr:colOff>
                <xdr:row>2</xdr:row>
                <xdr:rowOff>0</xdr:rowOff>
              </to>
            </anchor>
          </controlPr>
        </control>
      </mc:Choice>
      <mc:Fallback>
        <control shapeId="1044" r:id="rId3" name="CheckTodos"/>
      </mc:Fallback>
    </mc:AlternateContent>
    <mc:AlternateContent xmlns:mc="http://schemas.openxmlformats.org/markup-compatibility/2006">
      <mc:Choice Requires="x14">
        <control shapeId="1025" r:id="rId5" name="Check Box 1">
          <controlPr defaultSize="0" autoFill="0" autoLine="0" autoPict="0" altText="Anexar">
            <anchor moveWithCells="1">
              <from>
                <xdr:col>1</xdr:col>
                <xdr:colOff>139700</xdr:colOff>
                <xdr:row>2</xdr:row>
                <xdr:rowOff>31750</xdr:rowOff>
              </from>
              <to>
                <xdr:col>1</xdr:col>
                <xdr:colOff>349250</xdr:colOff>
                <xdr:row>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6" name="Check Box 2">
          <controlPr defaultSize="0" autoFill="0" autoLine="0" autoPict="0" altText="Anexar">
            <anchor moveWithCells="1">
              <from>
                <xdr:col>1</xdr:col>
                <xdr:colOff>139700</xdr:colOff>
                <xdr:row>3</xdr:row>
                <xdr:rowOff>31750</xdr:rowOff>
              </from>
              <to>
                <xdr:col>1</xdr:col>
                <xdr:colOff>349250</xdr:colOff>
                <xdr:row>3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Check Box 3">
          <controlPr defaultSize="0" autoFill="0" autoLine="0" autoPict="0" altText="Anexar">
            <anchor moveWithCells="1">
              <from>
                <xdr:col>1</xdr:col>
                <xdr:colOff>139700</xdr:colOff>
                <xdr:row>4</xdr:row>
                <xdr:rowOff>31750</xdr:rowOff>
              </from>
              <to>
                <xdr:col>1</xdr:col>
                <xdr:colOff>349250</xdr:colOff>
                <xdr:row>4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Check Box 4">
          <controlPr defaultSize="0" autoFill="0" autoLine="0" autoPict="0" altText="Anexar">
            <anchor moveWithCells="1">
              <from>
                <xdr:col>1</xdr:col>
                <xdr:colOff>139700</xdr:colOff>
                <xdr:row>5</xdr:row>
                <xdr:rowOff>31750</xdr:rowOff>
              </from>
              <to>
                <xdr:col>1</xdr:col>
                <xdr:colOff>349250</xdr:colOff>
                <xdr:row>5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Check Box 5">
          <controlPr defaultSize="0" autoFill="0" autoLine="0" autoPict="0" altText="Anexar">
            <anchor moveWithCells="1">
              <from>
                <xdr:col>1</xdr:col>
                <xdr:colOff>139700</xdr:colOff>
                <xdr:row>6</xdr:row>
                <xdr:rowOff>31750</xdr:rowOff>
              </from>
              <to>
                <xdr:col>1</xdr:col>
                <xdr:colOff>349250</xdr:colOff>
                <xdr:row>6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Check Box 6">
          <controlPr defaultSize="0" autoFill="0" autoLine="0" autoPict="0" altText="Anexar">
            <anchor moveWithCells="1">
              <from>
                <xdr:col>1</xdr:col>
                <xdr:colOff>139700</xdr:colOff>
                <xdr:row>7</xdr:row>
                <xdr:rowOff>31750</xdr:rowOff>
              </from>
              <to>
                <xdr:col>1</xdr:col>
                <xdr:colOff>349250</xdr:colOff>
                <xdr:row>7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Check Box 7">
          <controlPr defaultSize="0" autoFill="0" autoLine="0" autoPict="0" altText="Anexar">
            <anchor moveWithCells="1">
              <from>
                <xdr:col>1</xdr:col>
                <xdr:colOff>139700</xdr:colOff>
                <xdr:row>8</xdr:row>
                <xdr:rowOff>31750</xdr:rowOff>
              </from>
              <to>
                <xdr:col>1</xdr:col>
                <xdr:colOff>349250</xdr:colOff>
                <xdr:row>8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Check Box 8">
          <controlPr defaultSize="0" autoFill="0" autoLine="0" autoPict="0" altText="Anexar">
            <anchor moveWithCells="1">
              <from>
                <xdr:col>1</xdr:col>
                <xdr:colOff>139700</xdr:colOff>
                <xdr:row>9</xdr:row>
                <xdr:rowOff>31750</xdr:rowOff>
              </from>
              <to>
                <xdr:col>1</xdr:col>
                <xdr:colOff>349250</xdr:colOff>
                <xdr:row>9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3" name="Check Box 9">
          <controlPr defaultSize="0" autoFill="0" autoLine="0" autoPict="0" altText="Anexar">
            <anchor moveWithCells="1">
              <from>
                <xdr:col>1</xdr:col>
                <xdr:colOff>139700</xdr:colOff>
                <xdr:row>10</xdr:row>
                <xdr:rowOff>31750</xdr:rowOff>
              </from>
              <to>
                <xdr:col>1</xdr:col>
                <xdr:colOff>349250</xdr:colOff>
                <xdr:row>10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4" name="Check Box 10">
          <controlPr defaultSize="0" autoFill="0" autoLine="0" autoPict="0" altText="Anexar">
            <anchor moveWithCells="1">
              <from>
                <xdr:col>1</xdr:col>
                <xdr:colOff>139700</xdr:colOff>
                <xdr:row>11</xdr:row>
                <xdr:rowOff>31750</xdr:rowOff>
              </from>
              <to>
                <xdr:col>1</xdr:col>
                <xdr:colOff>349250</xdr:colOff>
                <xdr:row>11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5" name="Check Box 11">
          <controlPr defaultSize="0" autoFill="0" autoLine="0" autoPict="0" altText="Anexar">
            <anchor moveWithCells="1">
              <from>
                <xdr:col>1</xdr:col>
                <xdr:colOff>139700</xdr:colOff>
                <xdr:row>12</xdr:row>
                <xdr:rowOff>31750</xdr:rowOff>
              </from>
              <to>
                <xdr:col>1</xdr:col>
                <xdr:colOff>349250</xdr:colOff>
                <xdr:row>12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6" name="Check Box 12">
          <controlPr defaultSize="0" autoFill="0" autoLine="0" autoPict="0" altText="Anexar">
            <anchor moveWithCells="1">
              <from>
                <xdr:col>1</xdr:col>
                <xdr:colOff>139700</xdr:colOff>
                <xdr:row>13</xdr:row>
                <xdr:rowOff>31750</xdr:rowOff>
              </from>
              <to>
                <xdr:col>1</xdr:col>
                <xdr:colOff>349250</xdr:colOff>
                <xdr:row>13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7" name="Check Box 13">
          <controlPr defaultSize="0" autoFill="0" autoLine="0" autoPict="0" altText="Anexar">
            <anchor moveWithCells="1">
              <from>
                <xdr:col>1</xdr:col>
                <xdr:colOff>139700</xdr:colOff>
                <xdr:row>14</xdr:row>
                <xdr:rowOff>31750</xdr:rowOff>
              </from>
              <to>
                <xdr:col>1</xdr:col>
                <xdr:colOff>349250</xdr:colOff>
                <xdr:row>14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8" name="Check Box 14">
          <controlPr defaultSize="0" autoFill="0" autoLine="0" autoPict="0" altText="Anexar">
            <anchor moveWithCells="1">
              <from>
                <xdr:col>1</xdr:col>
                <xdr:colOff>139700</xdr:colOff>
                <xdr:row>15</xdr:row>
                <xdr:rowOff>31750</xdr:rowOff>
              </from>
              <to>
                <xdr:col>1</xdr:col>
                <xdr:colOff>349250</xdr:colOff>
                <xdr:row>15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9" name="Check Box 15">
          <controlPr defaultSize="0" autoFill="0" autoLine="0" autoPict="0" altText="Anexar">
            <anchor moveWithCells="1">
              <from>
                <xdr:col>1</xdr:col>
                <xdr:colOff>139700</xdr:colOff>
                <xdr:row>16</xdr:row>
                <xdr:rowOff>31750</xdr:rowOff>
              </from>
              <to>
                <xdr:col>1</xdr:col>
                <xdr:colOff>349250</xdr:colOff>
                <xdr:row>16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20" name="Check Box 16">
          <controlPr defaultSize="0" autoFill="0" autoLine="0" autoPict="0" altText="Anexar">
            <anchor moveWithCells="1">
              <from>
                <xdr:col>1</xdr:col>
                <xdr:colOff>139700</xdr:colOff>
                <xdr:row>17</xdr:row>
                <xdr:rowOff>31750</xdr:rowOff>
              </from>
              <to>
                <xdr:col>1</xdr:col>
                <xdr:colOff>349250</xdr:colOff>
                <xdr:row>17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1" name="Check Box 17">
          <controlPr defaultSize="0" autoFill="0" autoLine="0" autoPict="0" altText="Anexar">
            <anchor moveWithCells="1">
              <from>
                <xdr:col>1</xdr:col>
                <xdr:colOff>139700</xdr:colOff>
                <xdr:row>18</xdr:row>
                <xdr:rowOff>31750</xdr:rowOff>
              </from>
              <to>
                <xdr:col>1</xdr:col>
                <xdr:colOff>349250</xdr:colOff>
                <xdr:row>18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2" name="Check Box 18">
          <controlPr defaultSize="0" autoFill="0" autoLine="0" autoPict="0" altText="Anexar">
            <anchor moveWithCells="1">
              <from>
                <xdr:col>1</xdr:col>
                <xdr:colOff>139700</xdr:colOff>
                <xdr:row>19</xdr:row>
                <xdr:rowOff>31750</xdr:rowOff>
              </from>
              <to>
                <xdr:col>1</xdr:col>
                <xdr:colOff>349250</xdr:colOff>
                <xdr:row>20</xdr:row>
                <xdr:rowOff>38100</xdr:rowOff>
              </to>
            </anchor>
          </controlPr>
        </control>
      </mc:Choice>
    </mc:AlternateContent>
  </controls>
  <tableParts count="1">
    <tablePart r:id="rId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C0D70-744C-4739-91A1-09777D24EE21}">
  <sheetPr codeName="Hoja2">
    <tabColor rgb="FFFFC000"/>
  </sheetPr>
  <dimension ref="A1:D7"/>
  <sheetViews>
    <sheetView workbookViewId="0">
      <selection activeCell="A8" sqref="A8"/>
    </sheetView>
  </sheetViews>
  <sheetFormatPr baseColWidth="10" defaultRowHeight="14.5" x14ac:dyDescent="0.35"/>
  <cols>
    <col min="1" max="1" width="52.81640625" bestFit="1" customWidth="1"/>
    <col min="2" max="2" width="19.6328125" bestFit="1" customWidth="1"/>
    <col min="3" max="3" width="13.6328125" bestFit="1" customWidth="1"/>
    <col min="4" max="4" width="15.7265625" bestFit="1" customWidth="1"/>
  </cols>
  <sheetData>
    <row r="1" spans="1:4" x14ac:dyDescent="0.35">
      <c r="A1" t="s">
        <v>54</v>
      </c>
      <c r="B1" t="s">
        <v>55</v>
      </c>
      <c r="C1" t="s">
        <v>56</v>
      </c>
      <c r="D1" t="s">
        <v>57</v>
      </c>
    </row>
    <row r="2" spans="1:4" x14ac:dyDescent="0.35">
      <c r="A2" t="s">
        <v>362</v>
      </c>
      <c r="B2" s="3">
        <v>45662.045115740744</v>
      </c>
      <c r="C2" s="4">
        <v>249724285</v>
      </c>
      <c r="D2" s="4">
        <v>34235524.479999974</v>
      </c>
    </row>
    <row r="3" spans="1:4" x14ac:dyDescent="0.35">
      <c r="A3" t="s">
        <v>363</v>
      </c>
      <c r="B3" s="3">
        <v>45783.731874999998</v>
      </c>
      <c r="C3" s="4">
        <v>3021000</v>
      </c>
      <c r="D3" s="4">
        <v>151050</v>
      </c>
    </row>
    <row r="4" spans="1:4" x14ac:dyDescent="0.35">
      <c r="A4" t="s">
        <v>364</v>
      </c>
      <c r="B4" t="s">
        <v>58</v>
      </c>
      <c r="C4" s="4">
        <v>19073459</v>
      </c>
      <c r="D4" s="4">
        <v>2866234</v>
      </c>
    </row>
    <row r="5" spans="1:4" x14ac:dyDescent="0.35">
      <c r="A5" t="s">
        <v>365</v>
      </c>
      <c r="B5" t="s">
        <v>59</v>
      </c>
      <c r="C5" s="4">
        <v>9191252</v>
      </c>
      <c r="D5" s="4">
        <v>1562513</v>
      </c>
    </row>
    <row r="6" spans="1:4" x14ac:dyDescent="0.35">
      <c r="A6" t="s">
        <v>366</v>
      </c>
      <c r="B6" s="3">
        <v>45783.757534722223</v>
      </c>
      <c r="C6" s="4">
        <v>30813004.889999997</v>
      </c>
      <c r="D6" s="4">
        <v>4192782.5100000002</v>
      </c>
    </row>
    <row r="7" spans="1:4" x14ac:dyDescent="0.35">
      <c r="A7" t="s">
        <v>367</v>
      </c>
      <c r="B7" s="3">
        <v>45783.732025462959</v>
      </c>
      <c r="C7" s="4">
        <v>2436248.33</v>
      </c>
      <c r="D7" s="4">
        <v>451793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615C-D849-4342-B671-971241FB7AAE}">
  <sheetPr codeName="Hoja4">
    <tabColor theme="5" tint="-0.249977111117893"/>
  </sheetPr>
  <dimension ref="A1:B20"/>
  <sheetViews>
    <sheetView showGridLines="0" workbookViewId="0">
      <selection activeCell="B2" sqref="B2"/>
    </sheetView>
  </sheetViews>
  <sheetFormatPr baseColWidth="10" defaultRowHeight="14.5" x14ac:dyDescent="0.35"/>
  <cols>
    <col min="1" max="1" width="23.54296875" customWidth="1"/>
    <col min="2" max="2" width="52.81640625" bestFit="1" customWidth="1"/>
    <col min="3" max="3" width="14.7265625" customWidth="1"/>
  </cols>
  <sheetData>
    <row r="1" spans="1:2" x14ac:dyDescent="0.35">
      <c r="A1" s="6" t="s">
        <v>62</v>
      </c>
    </row>
    <row r="2" spans="1:2" x14ac:dyDescent="0.35">
      <c r="A2" s="7" t="s">
        <v>63</v>
      </c>
      <c r="B2" s="8"/>
    </row>
    <row r="3" spans="1:2" x14ac:dyDescent="0.35">
      <c r="A3" t="str">
        <f>+TablaSeleccion[[#This Row],[Empresa]]</f>
        <v>Carpeta\Archivo1</v>
      </c>
      <c r="B3" t="str">
        <f>+VLOOKUP(A3,Seleccion!$A$3:$D$20,4,0)</f>
        <v>C:\Usuario\Carpeta\Archivo1.xlsx</v>
      </c>
    </row>
    <row r="4" spans="1:2" x14ac:dyDescent="0.35">
      <c r="A4" t="str">
        <f>+TablaSeleccion[[#This Row],[Empresa]]</f>
        <v>Carpeta\Archivo2</v>
      </c>
      <c r="B4" t="str">
        <f>+VLOOKUP(A4,Seleccion!$A$3:$D$20,4,0)</f>
        <v>C:\Usuario\Carpeta\Archivo2.xlsx</v>
      </c>
    </row>
    <row r="5" spans="1:2" x14ac:dyDescent="0.35">
      <c r="A5" t="str">
        <f>+TablaSeleccion[[#This Row],[Empresa]]</f>
        <v>Carpeta\Archivo3</v>
      </c>
      <c r="B5" t="str">
        <f>+VLOOKUP(A5,Seleccion!$A$3:$D$20,4,0)</f>
        <v>C:\Usuario\Carpeta\Archivo3.xlsx</v>
      </c>
    </row>
    <row r="6" spans="1:2" x14ac:dyDescent="0.35">
      <c r="A6" t="str">
        <f>+TablaSeleccion[[#This Row],[Empresa]]</f>
        <v>Carpeta\Archivo4</v>
      </c>
      <c r="B6" t="str">
        <f>+VLOOKUP(A6,Seleccion!$A$3:$D$20,4,0)</f>
        <v>C:\Usuario\Carpeta\Archivo4.xlsx</v>
      </c>
    </row>
    <row r="7" spans="1:2" x14ac:dyDescent="0.35">
      <c r="A7" t="str">
        <f>+TablaSeleccion[[#This Row],[Empresa]]</f>
        <v>Carpeta\Archivo5</v>
      </c>
      <c r="B7" t="str">
        <f>+VLOOKUP(A7,Seleccion!$A$3:$D$20,4,0)</f>
        <v>C:\Usuario\Carpeta\Archivo5.xlsx</v>
      </c>
    </row>
    <row r="8" spans="1:2" x14ac:dyDescent="0.35">
      <c r="A8" t="str">
        <f>+TablaSeleccion[[#This Row],[Empresa]]</f>
        <v>Carpeta\Archivo6</v>
      </c>
      <c r="B8" t="str">
        <f>+VLOOKUP(A8,Seleccion!$A$3:$D$20,4,0)</f>
        <v>C:\Usuario\Carpeta\Archivo6.xlsx</v>
      </c>
    </row>
    <row r="9" spans="1:2" x14ac:dyDescent="0.35">
      <c r="A9" t="str">
        <f>+TablaSeleccion[[#This Row],[Empresa]]</f>
        <v>Carpeta\Archivo7</v>
      </c>
      <c r="B9" t="str">
        <f>+VLOOKUP(A9,Seleccion!$A$3:$D$20,4,0)</f>
        <v>C:\Usuario\Carpeta\Archivo7.xlsx</v>
      </c>
    </row>
    <row r="10" spans="1:2" x14ac:dyDescent="0.35">
      <c r="A10" t="str">
        <f>+TablaSeleccion[[#This Row],[Empresa]]</f>
        <v>Carpeta\Archivo8</v>
      </c>
      <c r="B10" t="str">
        <f>+VLOOKUP(A10,Seleccion!$A$3:$D$20,4,0)</f>
        <v>C:\Usuario\Carpeta\Archivo8.xlsx</v>
      </c>
    </row>
    <row r="11" spans="1:2" x14ac:dyDescent="0.35">
      <c r="A11" t="str">
        <f>+TablaSeleccion[[#This Row],[Empresa]]</f>
        <v>Carpeta\Archivo9</v>
      </c>
      <c r="B11" t="str">
        <f>+VLOOKUP(A11,Seleccion!$A$3:$D$20,4,0)</f>
        <v>C:\Usuario\Carpeta\Archivo9.xlsx</v>
      </c>
    </row>
    <row r="12" spans="1:2" x14ac:dyDescent="0.35">
      <c r="A12" t="str">
        <f>+TablaSeleccion[[#This Row],[Empresa]]</f>
        <v>Carpeta\Archivo10</v>
      </c>
      <c r="B12" t="str">
        <f>+VLOOKUP(A12,Seleccion!$A$3:$D$20,4,0)</f>
        <v>C:\Usuario\Carpeta\Archivo10.xlsx</v>
      </c>
    </row>
    <row r="13" spans="1:2" x14ac:dyDescent="0.35">
      <c r="A13" t="str">
        <f>+TablaSeleccion[[#This Row],[Empresa]]</f>
        <v>Carpeta\Archivo11</v>
      </c>
      <c r="B13" t="str">
        <f>+VLOOKUP(A13,Seleccion!$A$3:$D$20,4,0)</f>
        <v>C:\Usuario\Carpeta\Archivo11.xlsx</v>
      </c>
    </row>
    <row r="14" spans="1:2" x14ac:dyDescent="0.35">
      <c r="A14" t="str">
        <f>+TablaSeleccion[[#This Row],[Empresa]]</f>
        <v>Carpeta\Archivo12</v>
      </c>
      <c r="B14" t="str">
        <f>+VLOOKUP(A14,Seleccion!$A$3:$D$20,4,0)</f>
        <v>C:\Usuario\Carpeta\Archivo12.xlsx</v>
      </c>
    </row>
    <row r="15" spans="1:2" x14ac:dyDescent="0.35">
      <c r="A15" t="str">
        <f>+TablaSeleccion[[#This Row],[Empresa]]</f>
        <v>Carpeta\Archivo13</v>
      </c>
      <c r="B15" t="str">
        <f>+VLOOKUP(A15,Seleccion!$A$3:$D$20,4,0)</f>
        <v>C:\Usuario\Carpeta\Archivo13.xlsx</v>
      </c>
    </row>
    <row r="16" spans="1:2" x14ac:dyDescent="0.35">
      <c r="A16" t="str">
        <f>+TablaSeleccion[[#This Row],[Empresa]]</f>
        <v>Carpeta\Archivo14</v>
      </c>
      <c r="B16" t="str">
        <f>+VLOOKUP(A16,Seleccion!$A$3:$D$20,4,0)</f>
        <v>C:\Usuario\Carpeta\Archivo14.xlsx</v>
      </c>
    </row>
    <row r="17" spans="1:2" x14ac:dyDescent="0.35">
      <c r="A17" t="str">
        <f>+TablaSeleccion[[#This Row],[Empresa]]</f>
        <v>Carpeta\Archivo15</v>
      </c>
      <c r="B17" t="str">
        <f>+VLOOKUP(A17,Seleccion!$A$3:$D$20,4,0)</f>
        <v>C:\Usuario\Carpeta\Archivo15.xlsx</v>
      </c>
    </row>
    <row r="18" spans="1:2" x14ac:dyDescent="0.35">
      <c r="A18" t="str">
        <f>+TablaSeleccion[[#This Row],[Empresa]]</f>
        <v>Carpeta\Archivo16</v>
      </c>
      <c r="B18" t="str">
        <f>+VLOOKUP(A18,Seleccion!$A$3:$D$20,4,0)</f>
        <v>C:\Usuario\Carpeta\Archivo16.xlsx</v>
      </c>
    </row>
    <row r="19" spans="1:2" x14ac:dyDescent="0.35">
      <c r="A19" t="str">
        <f>+TablaSeleccion[[#This Row],[Empresa]]</f>
        <v>Carpeta\Archivo17</v>
      </c>
      <c r="B19" t="str">
        <f>+VLOOKUP(A19,Seleccion!$A$3:$D$20,4,0)</f>
        <v>C:\Usuario\Carpeta\Archivo17.xlsx</v>
      </c>
    </row>
    <row r="20" spans="1:2" x14ac:dyDescent="0.35">
      <c r="A20" t="str">
        <f>+TablaSeleccion[[#This Row],[Empresa]]</f>
        <v>Carpeta\Archivo18</v>
      </c>
      <c r="B20" t="str">
        <f>+VLOOKUP(A20,Seleccion!$A$3:$D$20,4,0)</f>
        <v>C:\Usuario\Carpeta\Archivo18.xlsx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C4146-94BF-4A7B-9D6D-03B72C373BC0}">
  <sheetPr codeName="Hoja3">
    <tabColor rgb="FFFF0000"/>
  </sheetPr>
  <dimension ref="C1:D20"/>
  <sheetViews>
    <sheetView showGridLines="0" tabSelected="1" workbookViewId="0">
      <selection activeCell="E7" sqref="E7"/>
    </sheetView>
  </sheetViews>
  <sheetFormatPr baseColWidth="10" defaultRowHeight="14.5" x14ac:dyDescent="0.35"/>
  <cols>
    <col min="4" max="4" width="52.81640625" bestFit="1" customWidth="1"/>
  </cols>
  <sheetData>
    <row r="1" spans="3:4" x14ac:dyDescent="0.35">
      <c r="D1" s="5" t="s">
        <v>61</v>
      </c>
    </row>
    <row r="2" spans="3:4" x14ac:dyDescent="0.35">
      <c r="C2" s="6" t="s">
        <v>63</v>
      </c>
      <c r="D2" s="8"/>
    </row>
    <row r="3" spans="3:4" x14ac:dyDescent="0.35">
      <c r="C3" t="str">
        <f>+TablaSeleccion[[#This Row],[Empresa]]</f>
        <v>Carpeta\Archivo1</v>
      </c>
      <c r="D3" t="str">
        <f>+VLOOKUP(C3,Seleccion!$A$3:$D$20,4,0)</f>
        <v>C:\Usuario\Carpeta\Archivo1.xlsx</v>
      </c>
    </row>
    <row r="4" spans="3:4" x14ac:dyDescent="0.35">
      <c r="C4" t="str">
        <f>+TablaSeleccion[[#This Row],[Empresa]]</f>
        <v>Carpeta\Archivo2</v>
      </c>
      <c r="D4" t="str">
        <f>+VLOOKUP(C4,Seleccion!$A$3:$D$20,4,0)</f>
        <v>C:\Usuario\Carpeta\Archivo2.xlsx</v>
      </c>
    </row>
    <row r="5" spans="3:4" x14ac:dyDescent="0.35">
      <c r="C5" t="str">
        <f>+TablaSeleccion[[#This Row],[Empresa]]</f>
        <v>Carpeta\Archivo3</v>
      </c>
      <c r="D5" t="str">
        <f>+VLOOKUP(C5,Seleccion!$A$3:$D$20,4,0)</f>
        <v>C:\Usuario\Carpeta\Archivo3.xlsx</v>
      </c>
    </row>
    <row r="6" spans="3:4" x14ac:dyDescent="0.35">
      <c r="C6" t="str">
        <f>+TablaSeleccion[[#This Row],[Empresa]]</f>
        <v>Carpeta\Archivo4</v>
      </c>
      <c r="D6" t="str">
        <f>+VLOOKUP(C6,Seleccion!$A$3:$D$20,4,0)</f>
        <v>C:\Usuario\Carpeta\Archivo4.xlsx</v>
      </c>
    </row>
    <row r="7" spans="3:4" x14ac:dyDescent="0.35">
      <c r="C7" t="str">
        <f>+TablaSeleccion[[#This Row],[Empresa]]</f>
        <v>Carpeta\Archivo5</v>
      </c>
      <c r="D7" t="str">
        <f>+VLOOKUP(C7,Seleccion!$A$3:$D$20,4,0)</f>
        <v>C:\Usuario\Carpeta\Archivo5.xlsx</v>
      </c>
    </row>
    <row r="8" spans="3:4" x14ac:dyDescent="0.35">
      <c r="C8" t="str">
        <f>+TablaSeleccion[[#This Row],[Empresa]]</f>
        <v>Carpeta\Archivo6</v>
      </c>
      <c r="D8" t="str">
        <f>+VLOOKUP(C8,Seleccion!$A$3:$D$20,4,0)</f>
        <v>C:\Usuario\Carpeta\Archivo6.xlsx</v>
      </c>
    </row>
    <row r="9" spans="3:4" x14ac:dyDescent="0.35">
      <c r="C9" t="str">
        <f>+TablaSeleccion[[#This Row],[Empresa]]</f>
        <v>Carpeta\Archivo7</v>
      </c>
      <c r="D9" t="str">
        <f>+VLOOKUP(C9,Seleccion!$A$3:$D$20,4,0)</f>
        <v>C:\Usuario\Carpeta\Archivo7.xlsx</v>
      </c>
    </row>
    <row r="10" spans="3:4" x14ac:dyDescent="0.35">
      <c r="C10" t="str">
        <f>+TablaSeleccion[[#This Row],[Empresa]]</f>
        <v>Carpeta\Archivo8</v>
      </c>
      <c r="D10" t="str">
        <f>+VLOOKUP(C10,Seleccion!$A$3:$D$20,4,0)</f>
        <v>C:\Usuario\Carpeta\Archivo8.xlsx</v>
      </c>
    </row>
    <row r="11" spans="3:4" x14ac:dyDescent="0.35">
      <c r="C11" t="str">
        <f>+TablaSeleccion[[#This Row],[Empresa]]</f>
        <v>Carpeta\Archivo9</v>
      </c>
      <c r="D11" t="str">
        <f>+VLOOKUP(C11,Seleccion!$A$3:$D$20,4,0)</f>
        <v>C:\Usuario\Carpeta\Archivo9.xlsx</v>
      </c>
    </row>
    <row r="12" spans="3:4" x14ac:dyDescent="0.35">
      <c r="C12" t="str">
        <f>+TablaSeleccion[[#This Row],[Empresa]]</f>
        <v>Carpeta\Archivo10</v>
      </c>
      <c r="D12" t="str">
        <f>+VLOOKUP(C12,Seleccion!$A$3:$D$20,4,0)</f>
        <v>C:\Usuario\Carpeta\Archivo10.xlsx</v>
      </c>
    </row>
    <row r="13" spans="3:4" x14ac:dyDescent="0.35">
      <c r="C13" t="str">
        <f>+TablaSeleccion[[#This Row],[Empresa]]</f>
        <v>Carpeta\Archivo11</v>
      </c>
      <c r="D13" t="str">
        <f>+VLOOKUP(C13,Seleccion!$A$3:$D$20,4,0)</f>
        <v>C:\Usuario\Carpeta\Archivo11.xlsx</v>
      </c>
    </row>
    <row r="14" spans="3:4" x14ac:dyDescent="0.35">
      <c r="C14" t="str">
        <f>+TablaSeleccion[[#This Row],[Empresa]]</f>
        <v>Carpeta\Archivo12</v>
      </c>
      <c r="D14" t="str">
        <f>+VLOOKUP(C14,Seleccion!$A$3:$D$20,4,0)</f>
        <v>C:\Usuario\Carpeta\Archivo12.xlsx</v>
      </c>
    </row>
    <row r="15" spans="3:4" x14ac:dyDescent="0.35">
      <c r="C15" t="str">
        <f>+TablaSeleccion[[#This Row],[Empresa]]</f>
        <v>Carpeta\Archivo13</v>
      </c>
      <c r="D15" t="str">
        <f>+VLOOKUP(C15,Seleccion!$A$3:$D$20,4,0)</f>
        <v>C:\Usuario\Carpeta\Archivo13.xlsx</v>
      </c>
    </row>
    <row r="16" spans="3:4" x14ac:dyDescent="0.35">
      <c r="C16" t="str">
        <f>+TablaSeleccion[[#This Row],[Empresa]]</f>
        <v>Carpeta\Archivo14</v>
      </c>
      <c r="D16" t="str">
        <f>+VLOOKUP(C16,Seleccion!$A$3:$D$20,4,0)</f>
        <v>C:\Usuario\Carpeta\Archivo14.xlsx</v>
      </c>
    </row>
    <row r="17" spans="3:4" x14ac:dyDescent="0.35">
      <c r="C17" t="str">
        <f>+TablaSeleccion[[#This Row],[Empresa]]</f>
        <v>Carpeta\Archivo15</v>
      </c>
      <c r="D17" t="str">
        <f>+VLOOKUP(C17,Seleccion!$A$3:$D$20,4,0)</f>
        <v>C:\Usuario\Carpeta\Archivo15.xlsx</v>
      </c>
    </row>
    <row r="18" spans="3:4" x14ac:dyDescent="0.35">
      <c r="C18" t="str">
        <f>+TablaSeleccion[[#This Row],[Empresa]]</f>
        <v>Carpeta\Archivo16</v>
      </c>
      <c r="D18" t="str">
        <f>+VLOOKUP(C18,Seleccion!$A$3:$D$20,4,0)</f>
        <v>C:\Usuario\Carpeta\Archivo16.xlsx</v>
      </c>
    </row>
    <row r="19" spans="3:4" x14ac:dyDescent="0.35">
      <c r="C19" t="str">
        <f>+TablaSeleccion[[#This Row],[Empresa]]</f>
        <v>Carpeta\Archivo17</v>
      </c>
      <c r="D19" t="str">
        <f>+VLOOKUP(C19,Seleccion!$A$3:$D$20,4,0)</f>
        <v>C:\Usuario\Carpeta\Archivo17.xlsx</v>
      </c>
    </row>
    <row r="20" spans="3:4" x14ac:dyDescent="0.35">
      <c r="C20" t="str">
        <f>+TablaSeleccion[[#This Row],[Empresa]]</f>
        <v>Carpeta\Archivo18</v>
      </c>
      <c r="D20" t="str">
        <f>+VLOOKUP(C20,Seleccion!$A$3:$D$20,4,0)</f>
        <v>C:\Usuario\Carpeta\Archivo18.xlsx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DAD825-1F07-4290-8523-C00DEDA7B7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Participaciones</vt:lpstr>
      <vt:lpstr>Seleccion</vt:lpstr>
      <vt:lpstr>ResumenPorCompañia</vt:lpstr>
      <vt:lpstr>RenombrarArchivos</vt:lpstr>
      <vt:lpstr>BorrarArchivos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Rios</dc:creator>
  <cp:lastModifiedBy>Victoria Rios</cp:lastModifiedBy>
  <dcterms:created xsi:type="dcterms:W3CDTF">2025-06-05T02:15:27Z</dcterms:created>
  <dcterms:modified xsi:type="dcterms:W3CDTF">2025-06-09T00:55:11Z</dcterms:modified>
</cp:coreProperties>
</file>